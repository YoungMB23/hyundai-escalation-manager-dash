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7ff96e14868b02c/Desktop/Hyudai Copilot Manager Dash/"/>
    </mc:Choice>
  </mc:AlternateContent>
  <xr:revisionPtr revIDLastSave="0" documentId="8_{45AB5D93-8C70-4430-84B6-6FE036B06F35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Note for Barry" sheetId="13" r:id="rId1"/>
    <sheet name="Model Framework" sheetId="1" r:id="rId2"/>
    <sheet name="Risk Framework" sheetId="12" r:id="rId3"/>
    <sheet name="Unified VIN Risk Scoring" sheetId="3" r:id="rId4"/>
    <sheet name="CEO Escalation VINs" sheetId="2" r:id="rId5"/>
    <sheet name="Dealer Operations" sheetId="4" r:id="rId6"/>
    <sheet name="Call Center Profiles" sheetId="5" r:id="rId7"/>
    <sheet name="Regression Analytics" sheetId="7" r:id="rId8"/>
    <sheet name="Multiplier Tables" sheetId="6" r:id="rId9"/>
    <sheet name="Risk Bands" sheetId="8" r:id="rId10"/>
    <sheet name="ML Predictions" sheetId="9" r:id="rId11"/>
    <sheet name="ML Feature Importance" sheetId="10" r:id="rId12"/>
    <sheet name="ML Metrics" sheetId="11" r:id="rId13"/>
  </sheets>
  <definedNames>
    <definedName name="_xlnm._FilterDatabase" localSheetId="10" hidden="1">'ML Predictions'!$A$1:$E$1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3" l="1"/>
  <c r="V4" i="3"/>
  <c r="V5" i="3"/>
  <c r="V6" i="3"/>
  <c r="V7" i="3"/>
  <c r="V8" i="3"/>
  <c r="V9" i="3"/>
  <c r="V10" i="3"/>
  <c r="V11" i="3"/>
  <c r="V12" i="3"/>
  <c r="V13" i="3"/>
  <c r="Z13" i="3" s="1"/>
  <c r="V14" i="3"/>
  <c r="V15" i="3"/>
  <c r="Z15" i="3" s="1"/>
  <c r="V16" i="3"/>
  <c r="Z16" i="3" s="1"/>
  <c r="V17" i="3"/>
  <c r="Z17" i="3" s="1"/>
  <c r="V18" i="3"/>
  <c r="Z18" i="3" s="1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Z31" i="3" s="1"/>
  <c r="V32" i="3"/>
  <c r="Z32" i="3" s="1"/>
  <c r="V33" i="3"/>
  <c r="Z33" i="3" s="1"/>
  <c r="V34" i="3"/>
  <c r="Z34" i="3" s="1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Z47" i="3" s="1"/>
  <c r="V48" i="3"/>
  <c r="Z48" i="3" s="1"/>
  <c r="V49" i="3"/>
  <c r="Z49" i="3" s="1"/>
  <c r="V50" i="3"/>
  <c r="Z50" i="3" s="1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Z63" i="3" s="1"/>
  <c r="V64" i="3"/>
  <c r="Z64" i="3" s="1"/>
  <c r="V65" i="3"/>
  <c r="Z65" i="3" s="1"/>
  <c r="V66" i="3"/>
  <c r="Z66" i="3" s="1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Z79" i="3" s="1"/>
  <c r="V80" i="3"/>
  <c r="Z80" i="3" s="1"/>
  <c r="V81" i="3"/>
  <c r="Z81" i="3" s="1"/>
  <c r="V82" i="3"/>
  <c r="Z82" i="3" s="1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Z95" i="3" s="1"/>
  <c r="V96" i="3"/>
  <c r="Z96" i="3" s="1"/>
  <c r="V97" i="3"/>
  <c r="Z97" i="3" s="1"/>
  <c r="V98" i="3"/>
  <c r="Z98" i="3" s="1"/>
  <c r="V99" i="3"/>
  <c r="V100" i="3"/>
  <c r="V101" i="3"/>
  <c r="V2" i="3"/>
  <c r="Z2" i="3" s="1"/>
  <c r="Z3" i="3"/>
  <c r="Z4" i="3"/>
  <c r="Z5" i="3"/>
  <c r="Z6" i="3"/>
  <c r="Z7" i="3"/>
  <c r="Z8" i="3"/>
  <c r="Z9" i="3"/>
  <c r="Z10" i="3"/>
  <c r="Z11" i="3"/>
  <c r="Z12" i="3"/>
  <c r="Z14" i="3"/>
  <c r="Z19" i="3"/>
  <c r="Z20" i="3"/>
  <c r="Z21" i="3"/>
  <c r="Z22" i="3"/>
  <c r="Z23" i="3"/>
  <c r="Z24" i="3"/>
  <c r="Z25" i="3"/>
  <c r="Z26" i="3"/>
  <c r="Z27" i="3"/>
  <c r="Z28" i="3"/>
  <c r="Z29" i="3"/>
  <c r="Z30" i="3"/>
  <c r="Z35" i="3"/>
  <c r="Z36" i="3"/>
  <c r="Z37" i="3"/>
  <c r="Z38" i="3"/>
  <c r="Z39" i="3"/>
  <c r="Z40" i="3"/>
  <c r="Z41" i="3"/>
  <c r="Z42" i="3"/>
  <c r="Z43" i="3"/>
  <c r="Z44" i="3"/>
  <c r="Z45" i="3"/>
  <c r="Z46" i="3"/>
  <c r="Z51" i="3"/>
  <c r="Z52" i="3"/>
  <c r="Z53" i="3"/>
  <c r="Z54" i="3"/>
  <c r="Z55" i="3"/>
  <c r="Z56" i="3"/>
  <c r="Z57" i="3"/>
  <c r="Z58" i="3"/>
  <c r="Z59" i="3"/>
  <c r="Z60" i="3"/>
  <c r="Z61" i="3"/>
  <c r="Z62" i="3"/>
  <c r="Z67" i="3"/>
  <c r="Z68" i="3"/>
  <c r="Z69" i="3"/>
  <c r="Z70" i="3"/>
  <c r="Z71" i="3"/>
  <c r="Z72" i="3"/>
  <c r="Z73" i="3"/>
  <c r="Z74" i="3"/>
  <c r="Z75" i="3"/>
  <c r="Z76" i="3"/>
  <c r="Z77" i="3"/>
  <c r="Z78" i="3"/>
  <c r="Z83" i="3"/>
  <c r="Z84" i="3"/>
  <c r="Z85" i="3"/>
  <c r="Z86" i="3"/>
  <c r="Z87" i="3"/>
  <c r="Z88" i="3"/>
  <c r="Z89" i="3"/>
  <c r="Z90" i="3"/>
  <c r="Z91" i="3"/>
  <c r="Z92" i="3"/>
  <c r="Z93" i="3"/>
  <c r="Z94" i="3"/>
  <c r="Z99" i="3"/>
  <c r="Z100" i="3"/>
  <c r="Z10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9" i="3"/>
  <c r="E90" i="3"/>
  <c r="E87" i="3"/>
  <c r="E88" i="3"/>
  <c r="E91" i="3"/>
  <c r="E92" i="3"/>
  <c r="E93" i="3"/>
  <c r="E94" i="3"/>
  <c r="E95" i="3"/>
  <c r="E96" i="3"/>
  <c r="E97" i="3"/>
  <c r="E98" i="3"/>
  <c r="E99" i="3"/>
  <c r="E100" i="3"/>
  <c r="E101" i="3"/>
  <c r="E2" i="3"/>
  <c r="G55" i="12"/>
  <c r="G56" i="12"/>
  <c r="G57" i="12"/>
  <c r="G54" i="12"/>
  <c r="F55" i="12"/>
  <c r="F56" i="12"/>
  <c r="F57" i="12"/>
  <c r="F54" i="12"/>
  <c r="E55" i="12"/>
  <c r="E56" i="12"/>
  <c r="E57" i="12"/>
  <c r="E54" i="12"/>
  <c r="D55" i="12"/>
  <c r="H55" i="12" s="1"/>
  <c r="D56" i="12"/>
  <c r="H56" i="12" s="1"/>
  <c r="D57" i="12"/>
  <c r="H57" i="12" s="1"/>
  <c r="D54" i="12"/>
  <c r="H54" i="12" s="1"/>
  <c r="E101" i="4"/>
  <c r="E100" i="4"/>
  <c r="E99" i="4"/>
  <c r="E98" i="4"/>
  <c r="E97" i="4"/>
  <c r="E96" i="4"/>
  <c r="F78" i="3" s="1"/>
  <c r="E95" i="4"/>
  <c r="F61" i="3" s="1"/>
  <c r="E94" i="4"/>
  <c r="F5" i="3" s="1"/>
  <c r="E93" i="4"/>
  <c r="F74" i="3" s="1"/>
  <c r="E92" i="4"/>
  <c r="F11" i="3" s="1"/>
  <c r="E91" i="4"/>
  <c r="F52" i="3" s="1"/>
  <c r="E90" i="4"/>
  <c r="F84" i="3" s="1"/>
  <c r="E89" i="4"/>
  <c r="F94" i="3" s="1"/>
  <c r="E88" i="4"/>
  <c r="F71" i="3" s="1"/>
  <c r="E87" i="4"/>
  <c r="F100" i="3" s="1"/>
  <c r="E86" i="4"/>
  <c r="F17" i="3" s="1"/>
  <c r="E85" i="4"/>
  <c r="E84" i="4"/>
  <c r="E83" i="4"/>
  <c r="E82" i="4"/>
  <c r="F35" i="3" s="1"/>
  <c r="E81" i="4"/>
  <c r="E80" i="4"/>
  <c r="E79" i="4"/>
  <c r="F24" i="3" s="1"/>
  <c r="E78" i="4"/>
  <c r="E77" i="4"/>
  <c r="F93" i="3" s="1"/>
  <c r="E76" i="4"/>
  <c r="F63" i="3" s="1"/>
  <c r="E75" i="4"/>
  <c r="F68" i="3" s="1"/>
  <c r="E74" i="4"/>
  <c r="E73" i="4"/>
  <c r="F19" i="3" s="1"/>
  <c r="E72" i="4"/>
  <c r="F91" i="3" s="1"/>
  <c r="E71" i="4"/>
  <c r="F40" i="3" s="1"/>
  <c r="E70" i="4"/>
  <c r="F46" i="3" s="1"/>
  <c r="E69" i="4"/>
  <c r="E68" i="4"/>
  <c r="E67" i="4"/>
  <c r="E66" i="4"/>
  <c r="F89" i="3" s="1"/>
  <c r="E55" i="4"/>
  <c r="F7" i="3" s="1"/>
  <c r="E65" i="4"/>
  <c r="E64" i="4"/>
  <c r="F64" i="3" s="1"/>
  <c r="E63" i="4"/>
  <c r="F48" i="3" s="1"/>
  <c r="E62" i="4"/>
  <c r="E61" i="4"/>
  <c r="F42" i="3" s="1"/>
  <c r="E60" i="4"/>
  <c r="F55" i="3" s="1"/>
  <c r="E59" i="4"/>
  <c r="F9" i="3" s="1"/>
  <c r="E58" i="4"/>
  <c r="F6" i="3" s="1"/>
  <c r="E57" i="4"/>
  <c r="F96" i="3" s="1"/>
  <c r="E56" i="4"/>
  <c r="F29" i="3" s="1"/>
  <c r="E54" i="4"/>
  <c r="F62" i="3" s="1"/>
  <c r="E53" i="4"/>
  <c r="E52" i="4"/>
  <c r="E51" i="4"/>
  <c r="F92" i="3" s="1"/>
  <c r="E50" i="4"/>
  <c r="F88" i="3" s="1"/>
  <c r="E49" i="4"/>
  <c r="E48" i="4"/>
  <c r="F3" i="3" s="1"/>
  <c r="E47" i="4"/>
  <c r="E46" i="4"/>
  <c r="F22" i="3" s="1"/>
  <c r="E45" i="4"/>
  <c r="F70" i="3" s="1"/>
  <c r="E44" i="4"/>
  <c r="F26" i="3" s="1"/>
  <c r="E43" i="4"/>
  <c r="F36" i="3" s="1"/>
  <c r="E42" i="4"/>
  <c r="F97" i="3" s="1"/>
  <c r="E41" i="4"/>
  <c r="F8" i="3" s="1"/>
  <c r="E40" i="4"/>
  <c r="F12" i="3" s="1"/>
  <c r="E39" i="4"/>
  <c r="F2" i="3" s="1"/>
  <c r="E38" i="4"/>
  <c r="F101" i="3" s="1"/>
  <c r="E37" i="4"/>
  <c r="E36" i="4"/>
  <c r="E35" i="4"/>
  <c r="E34" i="4"/>
  <c r="F31" i="3" s="1"/>
  <c r="E33" i="4"/>
  <c r="E32" i="4"/>
  <c r="F23" i="3" s="1"/>
  <c r="E31" i="4"/>
  <c r="F37" i="3" s="1"/>
  <c r="E30" i="4"/>
  <c r="F14" i="3" s="1"/>
  <c r="E29" i="4"/>
  <c r="E28" i="4"/>
  <c r="F81" i="3" s="1"/>
  <c r="E27" i="4"/>
  <c r="F56" i="3" s="1"/>
  <c r="E26" i="4"/>
  <c r="F82" i="3" s="1"/>
  <c r="E25" i="4"/>
  <c r="F39" i="3" s="1"/>
  <c r="E24" i="4"/>
  <c r="F66" i="3" s="1"/>
  <c r="E23" i="4"/>
  <c r="F69" i="3" s="1"/>
  <c r="E22" i="4"/>
  <c r="F53" i="3" s="1"/>
  <c r="E21" i="4"/>
  <c r="E20" i="4"/>
  <c r="E19" i="4"/>
  <c r="E18" i="4"/>
  <c r="F34" i="3" s="1"/>
  <c r="E17" i="4"/>
  <c r="F47" i="3" s="1"/>
  <c r="E16" i="4"/>
  <c r="F86" i="3" s="1"/>
  <c r="E15" i="4"/>
  <c r="F87" i="3" s="1"/>
  <c r="E14" i="4"/>
  <c r="E13" i="4"/>
  <c r="F85" i="3" s="1"/>
  <c r="E12" i="4"/>
  <c r="F76" i="3" s="1"/>
  <c r="E11" i="4"/>
  <c r="F32" i="3" s="1"/>
  <c r="E10" i="4"/>
  <c r="F80" i="3" s="1"/>
  <c r="E9" i="4"/>
  <c r="F59" i="3" s="1"/>
  <c r="E8" i="4"/>
  <c r="F73" i="3" s="1"/>
  <c r="E7" i="4"/>
  <c r="F27" i="3" s="1"/>
  <c r="E6" i="4"/>
  <c r="F58" i="3" s="1"/>
  <c r="E5" i="4"/>
  <c r="E4" i="4"/>
  <c r="E3" i="4"/>
  <c r="E2" i="4"/>
  <c r="F77" i="3" s="1"/>
  <c r="X101" i="3"/>
  <c r="T101" i="3"/>
  <c r="S101" i="3"/>
  <c r="R101" i="3"/>
  <c r="Q101" i="3"/>
  <c r="L101" i="3"/>
  <c r="W101" i="3" s="1"/>
  <c r="K101" i="3"/>
  <c r="J101" i="3"/>
  <c r="U101" i="3" s="1"/>
  <c r="D101" i="3"/>
  <c r="X100" i="3"/>
  <c r="T100" i="3"/>
  <c r="S100" i="3"/>
  <c r="R100" i="3"/>
  <c r="Q100" i="3"/>
  <c r="L100" i="3"/>
  <c r="W100" i="3" s="1"/>
  <c r="K100" i="3"/>
  <c r="J100" i="3"/>
  <c r="U100" i="3" s="1"/>
  <c r="D100" i="3"/>
  <c r="X99" i="3"/>
  <c r="T99" i="3"/>
  <c r="S99" i="3"/>
  <c r="R99" i="3"/>
  <c r="Q99" i="3"/>
  <c r="L99" i="3"/>
  <c r="W99" i="3" s="1"/>
  <c r="K99" i="3"/>
  <c r="J99" i="3"/>
  <c r="U99" i="3" s="1"/>
  <c r="F99" i="3"/>
  <c r="D99" i="3"/>
  <c r="X98" i="3"/>
  <c r="T98" i="3"/>
  <c r="S98" i="3"/>
  <c r="R98" i="3"/>
  <c r="Q98" i="3"/>
  <c r="L98" i="3"/>
  <c r="W98" i="3" s="1"/>
  <c r="K98" i="3"/>
  <c r="J98" i="3"/>
  <c r="U98" i="3" s="1"/>
  <c r="F98" i="3"/>
  <c r="D98" i="3"/>
  <c r="X97" i="3"/>
  <c r="T97" i="3"/>
  <c r="S97" i="3"/>
  <c r="R97" i="3"/>
  <c r="Q97" i="3"/>
  <c r="L97" i="3"/>
  <c r="W97" i="3" s="1"/>
  <c r="K97" i="3"/>
  <c r="J97" i="3"/>
  <c r="U97" i="3" s="1"/>
  <c r="D97" i="3"/>
  <c r="X96" i="3"/>
  <c r="T96" i="3"/>
  <c r="S96" i="3"/>
  <c r="R96" i="3"/>
  <c r="Q96" i="3"/>
  <c r="L96" i="3"/>
  <c r="W96" i="3" s="1"/>
  <c r="K96" i="3"/>
  <c r="J96" i="3"/>
  <c r="U96" i="3" s="1"/>
  <c r="D96" i="3"/>
  <c r="X95" i="3"/>
  <c r="T95" i="3"/>
  <c r="S95" i="3"/>
  <c r="R95" i="3"/>
  <c r="Q95" i="3"/>
  <c r="L95" i="3"/>
  <c r="W95" i="3" s="1"/>
  <c r="K95" i="3"/>
  <c r="J95" i="3"/>
  <c r="U95" i="3" s="1"/>
  <c r="F95" i="3"/>
  <c r="D95" i="3"/>
  <c r="X94" i="3"/>
  <c r="T94" i="3"/>
  <c r="S94" i="3"/>
  <c r="R94" i="3"/>
  <c r="Q94" i="3"/>
  <c r="L94" i="3"/>
  <c r="W94" i="3" s="1"/>
  <c r="K94" i="3"/>
  <c r="J94" i="3"/>
  <c r="U94" i="3" s="1"/>
  <c r="D94" i="3"/>
  <c r="X83" i="3"/>
  <c r="T83" i="3"/>
  <c r="S83" i="3"/>
  <c r="R83" i="3"/>
  <c r="Q83" i="3"/>
  <c r="L83" i="3"/>
  <c r="W83" i="3" s="1"/>
  <c r="K83" i="3"/>
  <c r="J83" i="3"/>
  <c r="U83" i="3" s="1"/>
  <c r="F83" i="3"/>
  <c r="D83" i="3"/>
  <c r="X82" i="3"/>
  <c r="T82" i="3"/>
  <c r="S82" i="3"/>
  <c r="R82" i="3"/>
  <c r="Q82" i="3"/>
  <c r="L82" i="3"/>
  <c r="W82" i="3" s="1"/>
  <c r="K82" i="3"/>
  <c r="J82" i="3"/>
  <c r="U82" i="3" s="1"/>
  <c r="D82" i="3"/>
  <c r="X81" i="3"/>
  <c r="T81" i="3"/>
  <c r="S81" i="3"/>
  <c r="R81" i="3"/>
  <c r="Q81" i="3"/>
  <c r="L81" i="3"/>
  <c r="W81" i="3" s="1"/>
  <c r="K81" i="3"/>
  <c r="J81" i="3"/>
  <c r="U81" i="3" s="1"/>
  <c r="D81" i="3"/>
  <c r="X80" i="3"/>
  <c r="T80" i="3"/>
  <c r="S80" i="3"/>
  <c r="R80" i="3"/>
  <c r="Q80" i="3"/>
  <c r="L80" i="3"/>
  <c r="W80" i="3" s="1"/>
  <c r="K80" i="3"/>
  <c r="J80" i="3"/>
  <c r="U80" i="3" s="1"/>
  <c r="D80" i="3"/>
  <c r="X79" i="3"/>
  <c r="T79" i="3"/>
  <c r="S79" i="3"/>
  <c r="R79" i="3"/>
  <c r="Q79" i="3"/>
  <c r="L79" i="3"/>
  <c r="W79" i="3" s="1"/>
  <c r="K79" i="3"/>
  <c r="J79" i="3"/>
  <c r="U79" i="3" s="1"/>
  <c r="F79" i="3"/>
  <c r="D79" i="3"/>
  <c r="X78" i="3"/>
  <c r="T78" i="3"/>
  <c r="S78" i="3"/>
  <c r="R78" i="3"/>
  <c r="Q78" i="3"/>
  <c r="L78" i="3"/>
  <c r="W78" i="3" s="1"/>
  <c r="K78" i="3"/>
  <c r="J78" i="3"/>
  <c r="U78" i="3" s="1"/>
  <c r="D78" i="3"/>
  <c r="X77" i="3"/>
  <c r="T77" i="3"/>
  <c r="S77" i="3"/>
  <c r="R77" i="3"/>
  <c r="Q77" i="3"/>
  <c r="L77" i="3"/>
  <c r="W77" i="3" s="1"/>
  <c r="K77" i="3"/>
  <c r="J77" i="3"/>
  <c r="U77" i="3" s="1"/>
  <c r="D77" i="3"/>
  <c r="X76" i="3"/>
  <c r="T76" i="3"/>
  <c r="S76" i="3"/>
  <c r="R76" i="3"/>
  <c r="Q76" i="3"/>
  <c r="L76" i="3"/>
  <c r="W76" i="3" s="1"/>
  <c r="K76" i="3"/>
  <c r="J76" i="3"/>
  <c r="U76" i="3" s="1"/>
  <c r="D76" i="3"/>
  <c r="X75" i="3"/>
  <c r="T75" i="3"/>
  <c r="S75" i="3"/>
  <c r="R75" i="3"/>
  <c r="Q75" i="3"/>
  <c r="L75" i="3"/>
  <c r="W75" i="3" s="1"/>
  <c r="K75" i="3"/>
  <c r="J75" i="3"/>
  <c r="U75" i="3" s="1"/>
  <c r="F75" i="3"/>
  <c r="D75" i="3"/>
  <c r="X74" i="3"/>
  <c r="T74" i="3"/>
  <c r="S74" i="3"/>
  <c r="R74" i="3"/>
  <c r="Q74" i="3"/>
  <c r="L74" i="3"/>
  <c r="W74" i="3" s="1"/>
  <c r="K74" i="3"/>
  <c r="J74" i="3"/>
  <c r="U74" i="3" s="1"/>
  <c r="D74" i="3"/>
  <c r="X73" i="3"/>
  <c r="T73" i="3"/>
  <c r="S73" i="3"/>
  <c r="R73" i="3"/>
  <c r="Q73" i="3"/>
  <c r="L73" i="3"/>
  <c r="W73" i="3" s="1"/>
  <c r="K73" i="3"/>
  <c r="J73" i="3"/>
  <c r="U73" i="3" s="1"/>
  <c r="D73" i="3"/>
  <c r="X72" i="3"/>
  <c r="T72" i="3"/>
  <c r="S72" i="3"/>
  <c r="R72" i="3"/>
  <c r="Q72" i="3"/>
  <c r="L72" i="3"/>
  <c r="W72" i="3" s="1"/>
  <c r="K72" i="3"/>
  <c r="J72" i="3"/>
  <c r="U72" i="3" s="1"/>
  <c r="F72" i="3"/>
  <c r="D72" i="3"/>
  <c r="X71" i="3"/>
  <c r="T71" i="3"/>
  <c r="S71" i="3"/>
  <c r="R71" i="3"/>
  <c r="Q71" i="3"/>
  <c r="L71" i="3"/>
  <c r="W71" i="3" s="1"/>
  <c r="K71" i="3"/>
  <c r="J71" i="3"/>
  <c r="U71" i="3" s="1"/>
  <c r="D71" i="3"/>
  <c r="X70" i="3"/>
  <c r="T70" i="3"/>
  <c r="S70" i="3"/>
  <c r="R70" i="3"/>
  <c r="Q70" i="3"/>
  <c r="L70" i="3"/>
  <c r="W70" i="3" s="1"/>
  <c r="K70" i="3"/>
  <c r="J70" i="3"/>
  <c r="U70" i="3" s="1"/>
  <c r="D70" i="3"/>
  <c r="X69" i="3"/>
  <c r="T69" i="3"/>
  <c r="S69" i="3"/>
  <c r="R69" i="3"/>
  <c r="Q69" i="3"/>
  <c r="L69" i="3"/>
  <c r="W69" i="3" s="1"/>
  <c r="K69" i="3"/>
  <c r="J69" i="3"/>
  <c r="U69" i="3" s="1"/>
  <c r="D69" i="3"/>
  <c r="X68" i="3"/>
  <c r="T68" i="3"/>
  <c r="S68" i="3"/>
  <c r="R68" i="3"/>
  <c r="Q68" i="3"/>
  <c r="L68" i="3"/>
  <c r="W68" i="3" s="1"/>
  <c r="K68" i="3"/>
  <c r="J68" i="3"/>
  <c r="U68" i="3" s="1"/>
  <c r="D68" i="3"/>
  <c r="X67" i="3"/>
  <c r="T67" i="3"/>
  <c r="S67" i="3"/>
  <c r="R67" i="3"/>
  <c r="Q67" i="3"/>
  <c r="L67" i="3"/>
  <c r="W67" i="3" s="1"/>
  <c r="K67" i="3"/>
  <c r="J67" i="3"/>
  <c r="U67" i="3" s="1"/>
  <c r="F67" i="3"/>
  <c r="D67" i="3"/>
  <c r="X66" i="3"/>
  <c r="T66" i="3"/>
  <c r="S66" i="3"/>
  <c r="R66" i="3"/>
  <c r="Q66" i="3"/>
  <c r="L66" i="3"/>
  <c r="W66" i="3" s="1"/>
  <c r="K66" i="3"/>
  <c r="J66" i="3"/>
  <c r="U66" i="3" s="1"/>
  <c r="D66" i="3"/>
  <c r="X65" i="3"/>
  <c r="T65" i="3"/>
  <c r="S65" i="3"/>
  <c r="R65" i="3"/>
  <c r="Q65" i="3"/>
  <c r="L65" i="3"/>
  <c r="W65" i="3" s="1"/>
  <c r="K65" i="3"/>
  <c r="J65" i="3"/>
  <c r="U65" i="3" s="1"/>
  <c r="F65" i="3"/>
  <c r="D65" i="3"/>
  <c r="X64" i="3"/>
  <c r="T64" i="3"/>
  <c r="S64" i="3"/>
  <c r="R64" i="3"/>
  <c r="Q64" i="3"/>
  <c r="L64" i="3"/>
  <c r="W64" i="3" s="1"/>
  <c r="K64" i="3"/>
  <c r="J64" i="3"/>
  <c r="U64" i="3" s="1"/>
  <c r="D64" i="3"/>
  <c r="X63" i="3"/>
  <c r="T63" i="3"/>
  <c r="S63" i="3"/>
  <c r="R63" i="3"/>
  <c r="Q63" i="3"/>
  <c r="L63" i="3"/>
  <c r="W63" i="3" s="1"/>
  <c r="K63" i="3"/>
  <c r="J63" i="3"/>
  <c r="U63" i="3" s="1"/>
  <c r="D63" i="3"/>
  <c r="X62" i="3"/>
  <c r="T62" i="3"/>
  <c r="S62" i="3"/>
  <c r="R62" i="3"/>
  <c r="Q62" i="3"/>
  <c r="L62" i="3"/>
  <c r="W62" i="3" s="1"/>
  <c r="K62" i="3"/>
  <c r="J62" i="3"/>
  <c r="U62" i="3" s="1"/>
  <c r="D62" i="3"/>
  <c r="X61" i="3"/>
  <c r="T61" i="3"/>
  <c r="S61" i="3"/>
  <c r="R61" i="3"/>
  <c r="Q61" i="3"/>
  <c r="L61" i="3"/>
  <c r="W61" i="3" s="1"/>
  <c r="K61" i="3"/>
  <c r="J61" i="3"/>
  <c r="U61" i="3" s="1"/>
  <c r="D61" i="3"/>
  <c r="X60" i="3"/>
  <c r="T60" i="3"/>
  <c r="S60" i="3"/>
  <c r="R60" i="3"/>
  <c r="Q60" i="3"/>
  <c r="L60" i="3"/>
  <c r="W60" i="3" s="1"/>
  <c r="K60" i="3"/>
  <c r="J60" i="3"/>
  <c r="U60" i="3" s="1"/>
  <c r="F60" i="3"/>
  <c r="D60" i="3"/>
  <c r="X59" i="3"/>
  <c r="T59" i="3"/>
  <c r="S59" i="3"/>
  <c r="R59" i="3"/>
  <c r="Q59" i="3"/>
  <c r="L59" i="3"/>
  <c r="W59" i="3" s="1"/>
  <c r="K59" i="3"/>
  <c r="J59" i="3"/>
  <c r="U59" i="3" s="1"/>
  <c r="D59" i="3"/>
  <c r="X58" i="3"/>
  <c r="T58" i="3"/>
  <c r="S58" i="3"/>
  <c r="R58" i="3"/>
  <c r="Q58" i="3"/>
  <c r="L58" i="3"/>
  <c r="W58" i="3" s="1"/>
  <c r="K58" i="3"/>
  <c r="J58" i="3"/>
  <c r="U58" i="3" s="1"/>
  <c r="D58" i="3"/>
  <c r="X57" i="3"/>
  <c r="T57" i="3"/>
  <c r="S57" i="3"/>
  <c r="R57" i="3"/>
  <c r="Q57" i="3"/>
  <c r="L57" i="3"/>
  <c r="W57" i="3" s="1"/>
  <c r="K57" i="3"/>
  <c r="J57" i="3"/>
  <c r="U57" i="3" s="1"/>
  <c r="F57" i="3"/>
  <c r="D57" i="3"/>
  <c r="X56" i="3"/>
  <c r="T56" i="3"/>
  <c r="S56" i="3"/>
  <c r="R56" i="3"/>
  <c r="Q56" i="3"/>
  <c r="L56" i="3"/>
  <c r="W56" i="3" s="1"/>
  <c r="K56" i="3"/>
  <c r="J56" i="3"/>
  <c r="U56" i="3" s="1"/>
  <c r="D56" i="3"/>
  <c r="X55" i="3"/>
  <c r="T55" i="3"/>
  <c r="S55" i="3"/>
  <c r="R55" i="3"/>
  <c r="Q55" i="3"/>
  <c r="L55" i="3"/>
  <c r="W55" i="3" s="1"/>
  <c r="K55" i="3"/>
  <c r="J55" i="3"/>
  <c r="U55" i="3" s="1"/>
  <c r="D55" i="3"/>
  <c r="X54" i="3"/>
  <c r="T54" i="3"/>
  <c r="S54" i="3"/>
  <c r="R54" i="3"/>
  <c r="Q54" i="3"/>
  <c r="L54" i="3"/>
  <c r="W54" i="3" s="1"/>
  <c r="K54" i="3"/>
  <c r="J54" i="3"/>
  <c r="U54" i="3" s="1"/>
  <c r="F54" i="3"/>
  <c r="D54" i="3"/>
  <c r="X53" i="3"/>
  <c r="T53" i="3"/>
  <c r="S53" i="3"/>
  <c r="R53" i="3"/>
  <c r="Q53" i="3"/>
  <c r="L53" i="3"/>
  <c r="W53" i="3" s="1"/>
  <c r="K53" i="3"/>
  <c r="J53" i="3"/>
  <c r="U53" i="3" s="1"/>
  <c r="D53" i="3"/>
  <c r="X52" i="3"/>
  <c r="T52" i="3"/>
  <c r="S52" i="3"/>
  <c r="R52" i="3"/>
  <c r="Q52" i="3"/>
  <c r="L52" i="3"/>
  <c r="W52" i="3" s="1"/>
  <c r="K52" i="3"/>
  <c r="J52" i="3"/>
  <c r="U52" i="3" s="1"/>
  <c r="D52" i="3"/>
  <c r="X51" i="3"/>
  <c r="T51" i="3"/>
  <c r="S51" i="3"/>
  <c r="R51" i="3"/>
  <c r="Q51" i="3"/>
  <c r="L51" i="3"/>
  <c r="W51" i="3" s="1"/>
  <c r="K51" i="3"/>
  <c r="J51" i="3"/>
  <c r="U51" i="3" s="1"/>
  <c r="F51" i="3"/>
  <c r="D51" i="3"/>
  <c r="X50" i="3"/>
  <c r="T50" i="3"/>
  <c r="S50" i="3"/>
  <c r="R50" i="3"/>
  <c r="Q50" i="3"/>
  <c r="L50" i="3"/>
  <c r="W50" i="3" s="1"/>
  <c r="K50" i="3"/>
  <c r="J50" i="3"/>
  <c r="U50" i="3" s="1"/>
  <c r="F50" i="3"/>
  <c r="D50" i="3"/>
  <c r="X49" i="3"/>
  <c r="T49" i="3"/>
  <c r="S49" i="3"/>
  <c r="R49" i="3"/>
  <c r="Q49" i="3"/>
  <c r="L49" i="3"/>
  <c r="W49" i="3" s="1"/>
  <c r="K49" i="3"/>
  <c r="J49" i="3"/>
  <c r="U49" i="3" s="1"/>
  <c r="F49" i="3"/>
  <c r="D49" i="3"/>
  <c r="X48" i="3"/>
  <c r="T48" i="3"/>
  <c r="S48" i="3"/>
  <c r="R48" i="3"/>
  <c r="Q48" i="3"/>
  <c r="L48" i="3"/>
  <c r="W48" i="3" s="1"/>
  <c r="K48" i="3"/>
  <c r="J48" i="3"/>
  <c r="U48" i="3" s="1"/>
  <c r="D48" i="3"/>
  <c r="X47" i="3"/>
  <c r="T47" i="3"/>
  <c r="S47" i="3"/>
  <c r="R47" i="3"/>
  <c r="Q47" i="3"/>
  <c r="L47" i="3"/>
  <c r="W47" i="3" s="1"/>
  <c r="K47" i="3"/>
  <c r="J47" i="3"/>
  <c r="U47" i="3" s="1"/>
  <c r="D47" i="3"/>
  <c r="X45" i="3"/>
  <c r="T45" i="3"/>
  <c r="S45" i="3"/>
  <c r="R45" i="3"/>
  <c r="Q45" i="3"/>
  <c r="L45" i="3"/>
  <c r="W45" i="3" s="1"/>
  <c r="K45" i="3"/>
  <c r="J45" i="3"/>
  <c r="U45" i="3" s="1"/>
  <c r="F45" i="3"/>
  <c r="D45" i="3"/>
  <c r="X44" i="3"/>
  <c r="T44" i="3"/>
  <c r="S44" i="3"/>
  <c r="R44" i="3"/>
  <c r="Q44" i="3"/>
  <c r="L44" i="3"/>
  <c r="W44" i="3" s="1"/>
  <c r="K44" i="3"/>
  <c r="J44" i="3"/>
  <c r="U44" i="3" s="1"/>
  <c r="F44" i="3"/>
  <c r="D44" i="3"/>
  <c r="X43" i="3"/>
  <c r="T43" i="3"/>
  <c r="S43" i="3"/>
  <c r="R43" i="3"/>
  <c r="Q43" i="3"/>
  <c r="L43" i="3"/>
  <c r="W43" i="3" s="1"/>
  <c r="K43" i="3"/>
  <c r="J43" i="3"/>
  <c r="U43" i="3" s="1"/>
  <c r="F43" i="3"/>
  <c r="D43" i="3"/>
  <c r="X42" i="3"/>
  <c r="T42" i="3"/>
  <c r="S42" i="3"/>
  <c r="R42" i="3"/>
  <c r="Q42" i="3"/>
  <c r="L42" i="3"/>
  <c r="W42" i="3" s="1"/>
  <c r="K42" i="3"/>
  <c r="J42" i="3"/>
  <c r="U42" i="3" s="1"/>
  <c r="D42" i="3"/>
  <c r="X41" i="3"/>
  <c r="T41" i="3"/>
  <c r="S41" i="3"/>
  <c r="R41" i="3"/>
  <c r="Q41" i="3"/>
  <c r="L41" i="3"/>
  <c r="W41" i="3" s="1"/>
  <c r="K41" i="3"/>
  <c r="J41" i="3"/>
  <c r="U41" i="3" s="1"/>
  <c r="F41" i="3"/>
  <c r="D41" i="3"/>
  <c r="X40" i="3"/>
  <c r="T40" i="3"/>
  <c r="S40" i="3"/>
  <c r="R40" i="3"/>
  <c r="Q40" i="3"/>
  <c r="L40" i="3"/>
  <c r="W40" i="3" s="1"/>
  <c r="K40" i="3"/>
  <c r="J40" i="3"/>
  <c r="U40" i="3" s="1"/>
  <c r="D40" i="3"/>
  <c r="X39" i="3"/>
  <c r="T39" i="3"/>
  <c r="S39" i="3"/>
  <c r="R39" i="3"/>
  <c r="Q39" i="3"/>
  <c r="L39" i="3"/>
  <c r="W39" i="3" s="1"/>
  <c r="K39" i="3"/>
  <c r="J39" i="3"/>
  <c r="U39" i="3" s="1"/>
  <c r="D39" i="3"/>
  <c r="X38" i="3"/>
  <c r="T38" i="3"/>
  <c r="S38" i="3"/>
  <c r="R38" i="3"/>
  <c r="Q38" i="3"/>
  <c r="L38" i="3"/>
  <c r="W38" i="3" s="1"/>
  <c r="K38" i="3"/>
  <c r="J38" i="3"/>
  <c r="U38" i="3" s="1"/>
  <c r="F38" i="3"/>
  <c r="D38" i="3"/>
  <c r="X37" i="3"/>
  <c r="T37" i="3"/>
  <c r="S37" i="3"/>
  <c r="R37" i="3"/>
  <c r="Q37" i="3"/>
  <c r="L37" i="3"/>
  <c r="W37" i="3" s="1"/>
  <c r="K37" i="3"/>
  <c r="J37" i="3"/>
  <c r="U37" i="3" s="1"/>
  <c r="D37" i="3"/>
  <c r="X36" i="3"/>
  <c r="T36" i="3"/>
  <c r="S36" i="3"/>
  <c r="R36" i="3"/>
  <c r="Q36" i="3"/>
  <c r="L36" i="3"/>
  <c r="W36" i="3" s="1"/>
  <c r="K36" i="3"/>
  <c r="J36" i="3"/>
  <c r="U36" i="3" s="1"/>
  <c r="D36" i="3"/>
  <c r="X35" i="3"/>
  <c r="T35" i="3"/>
  <c r="S35" i="3"/>
  <c r="R35" i="3"/>
  <c r="Q35" i="3"/>
  <c r="L35" i="3"/>
  <c r="W35" i="3" s="1"/>
  <c r="K35" i="3"/>
  <c r="J35" i="3"/>
  <c r="U35" i="3" s="1"/>
  <c r="D35" i="3"/>
  <c r="X34" i="3"/>
  <c r="T34" i="3"/>
  <c r="S34" i="3"/>
  <c r="R34" i="3"/>
  <c r="Q34" i="3"/>
  <c r="L34" i="3"/>
  <c r="W34" i="3" s="1"/>
  <c r="K34" i="3"/>
  <c r="J34" i="3"/>
  <c r="U34" i="3" s="1"/>
  <c r="D34" i="3"/>
  <c r="X33" i="3"/>
  <c r="T33" i="3"/>
  <c r="S33" i="3"/>
  <c r="R33" i="3"/>
  <c r="Q33" i="3"/>
  <c r="L33" i="3"/>
  <c r="W33" i="3" s="1"/>
  <c r="K33" i="3"/>
  <c r="J33" i="3"/>
  <c r="U33" i="3" s="1"/>
  <c r="F33" i="3"/>
  <c r="D33" i="3"/>
  <c r="X32" i="3"/>
  <c r="T32" i="3"/>
  <c r="S32" i="3"/>
  <c r="R32" i="3"/>
  <c r="Q32" i="3"/>
  <c r="L32" i="3"/>
  <c r="W32" i="3" s="1"/>
  <c r="K32" i="3"/>
  <c r="J32" i="3"/>
  <c r="U32" i="3" s="1"/>
  <c r="D32" i="3"/>
  <c r="X31" i="3"/>
  <c r="T31" i="3"/>
  <c r="S31" i="3"/>
  <c r="R31" i="3"/>
  <c r="Q31" i="3"/>
  <c r="L31" i="3"/>
  <c r="W31" i="3" s="1"/>
  <c r="K31" i="3"/>
  <c r="J31" i="3"/>
  <c r="U31" i="3" s="1"/>
  <c r="D31" i="3"/>
  <c r="X30" i="3"/>
  <c r="T30" i="3"/>
  <c r="S30" i="3"/>
  <c r="R30" i="3"/>
  <c r="Q30" i="3"/>
  <c r="L30" i="3"/>
  <c r="W30" i="3" s="1"/>
  <c r="K30" i="3"/>
  <c r="J30" i="3"/>
  <c r="U30" i="3" s="1"/>
  <c r="F30" i="3"/>
  <c r="D30" i="3"/>
  <c r="X29" i="3"/>
  <c r="T29" i="3"/>
  <c r="S29" i="3"/>
  <c r="R29" i="3"/>
  <c r="Q29" i="3"/>
  <c r="L29" i="3"/>
  <c r="W29" i="3" s="1"/>
  <c r="K29" i="3"/>
  <c r="J29" i="3"/>
  <c r="U29" i="3" s="1"/>
  <c r="D29" i="3"/>
  <c r="X28" i="3"/>
  <c r="T28" i="3"/>
  <c r="S28" i="3"/>
  <c r="R28" i="3"/>
  <c r="Q28" i="3"/>
  <c r="L28" i="3"/>
  <c r="W28" i="3" s="1"/>
  <c r="K28" i="3"/>
  <c r="J28" i="3"/>
  <c r="U28" i="3" s="1"/>
  <c r="F28" i="3"/>
  <c r="D28" i="3"/>
  <c r="X27" i="3"/>
  <c r="T27" i="3"/>
  <c r="S27" i="3"/>
  <c r="R27" i="3"/>
  <c r="Q27" i="3"/>
  <c r="L27" i="3"/>
  <c r="W27" i="3" s="1"/>
  <c r="K27" i="3"/>
  <c r="J27" i="3"/>
  <c r="U27" i="3" s="1"/>
  <c r="D27" i="3"/>
  <c r="X26" i="3"/>
  <c r="T26" i="3"/>
  <c r="S26" i="3"/>
  <c r="R26" i="3"/>
  <c r="Q26" i="3"/>
  <c r="L26" i="3"/>
  <c r="W26" i="3" s="1"/>
  <c r="K26" i="3"/>
  <c r="J26" i="3"/>
  <c r="U26" i="3" s="1"/>
  <c r="D26" i="3"/>
  <c r="X25" i="3"/>
  <c r="T25" i="3"/>
  <c r="S25" i="3"/>
  <c r="R25" i="3"/>
  <c r="Q25" i="3"/>
  <c r="L25" i="3"/>
  <c r="W25" i="3" s="1"/>
  <c r="K25" i="3"/>
  <c r="J25" i="3"/>
  <c r="U25" i="3" s="1"/>
  <c r="F25" i="3"/>
  <c r="D25" i="3"/>
  <c r="X24" i="3"/>
  <c r="T24" i="3"/>
  <c r="S24" i="3"/>
  <c r="R24" i="3"/>
  <c r="Q24" i="3"/>
  <c r="L24" i="3"/>
  <c r="W24" i="3" s="1"/>
  <c r="K24" i="3"/>
  <c r="J24" i="3"/>
  <c r="U24" i="3" s="1"/>
  <c r="D24" i="3"/>
  <c r="X23" i="3"/>
  <c r="T23" i="3"/>
  <c r="S23" i="3"/>
  <c r="R23" i="3"/>
  <c r="Q23" i="3"/>
  <c r="L23" i="3"/>
  <c r="W23" i="3" s="1"/>
  <c r="K23" i="3"/>
  <c r="J23" i="3"/>
  <c r="U23" i="3" s="1"/>
  <c r="D23" i="3"/>
  <c r="X22" i="3"/>
  <c r="T22" i="3"/>
  <c r="S22" i="3"/>
  <c r="R22" i="3"/>
  <c r="Q22" i="3"/>
  <c r="L22" i="3"/>
  <c r="W22" i="3" s="1"/>
  <c r="K22" i="3"/>
  <c r="J22" i="3"/>
  <c r="U22" i="3" s="1"/>
  <c r="D22" i="3"/>
  <c r="X21" i="3"/>
  <c r="T21" i="3"/>
  <c r="S21" i="3"/>
  <c r="R21" i="3"/>
  <c r="Q21" i="3"/>
  <c r="L21" i="3"/>
  <c r="W21" i="3" s="1"/>
  <c r="K21" i="3"/>
  <c r="J21" i="3"/>
  <c r="U21" i="3" s="1"/>
  <c r="F21" i="3"/>
  <c r="D21" i="3"/>
  <c r="X20" i="3"/>
  <c r="T20" i="3"/>
  <c r="S20" i="3"/>
  <c r="R20" i="3"/>
  <c r="Q20" i="3"/>
  <c r="L20" i="3"/>
  <c r="W20" i="3" s="1"/>
  <c r="K20" i="3"/>
  <c r="J20" i="3"/>
  <c r="U20" i="3" s="1"/>
  <c r="F20" i="3"/>
  <c r="D20" i="3"/>
  <c r="X19" i="3"/>
  <c r="T19" i="3"/>
  <c r="S19" i="3"/>
  <c r="R19" i="3"/>
  <c r="Q19" i="3"/>
  <c r="L19" i="3"/>
  <c r="W19" i="3" s="1"/>
  <c r="K19" i="3"/>
  <c r="J19" i="3"/>
  <c r="U19" i="3" s="1"/>
  <c r="D19" i="3"/>
  <c r="X18" i="3"/>
  <c r="T18" i="3"/>
  <c r="S18" i="3"/>
  <c r="R18" i="3"/>
  <c r="Q18" i="3"/>
  <c r="L18" i="3"/>
  <c r="W18" i="3" s="1"/>
  <c r="K18" i="3"/>
  <c r="J18" i="3"/>
  <c r="U18" i="3" s="1"/>
  <c r="F18" i="3"/>
  <c r="D18" i="3"/>
  <c r="X17" i="3"/>
  <c r="T17" i="3"/>
  <c r="S17" i="3"/>
  <c r="R17" i="3"/>
  <c r="Q17" i="3"/>
  <c r="L17" i="3"/>
  <c r="W17" i="3" s="1"/>
  <c r="K17" i="3"/>
  <c r="J17" i="3"/>
  <c r="U17" i="3" s="1"/>
  <c r="D17" i="3"/>
  <c r="X16" i="3"/>
  <c r="T16" i="3"/>
  <c r="S16" i="3"/>
  <c r="R16" i="3"/>
  <c r="Q16" i="3"/>
  <c r="L16" i="3"/>
  <c r="W16" i="3" s="1"/>
  <c r="K16" i="3"/>
  <c r="J16" i="3"/>
  <c r="U16" i="3" s="1"/>
  <c r="F16" i="3"/>
  <c r="D16" i="3"/>
  <c r="X15" i="3"/>
  <c r="T15" i="3"/>
  <c r="S15" i="3"/>
  <c r="R15" i="3"/>
  <c r="Q15" i="3"/>
  <c r="L15" i="3"/>
  <c r="W15" i="3" s="1"/>
  <c r="K15" i="3"/>
  <c r="J15" i="3"/>
  <c r="U15" i="3" s="1"/>
  <c r="F15" i="3"/>
  <c r="D15" i="3"/>
  <c r="X14" i="3"/>
  <c r="T14" i="3"/>
  <c r="S14" i="3"/>
  <c r="R14" i="3"/>
  <c r="Q14" i="3"/>
  <c r="L14" i="3"/>
  <c r="W14" i="3" s="1"/>
  <c r="K14" i="3"/>
  <c r="J14" i="3"/>
  <c r="U14" i="3" s="1"/>
  <c r="D14" i="3"/>
  <c r="X13" i="3"/>
  <c r="T13" i="3"/>
  <c r="S13" i="3"/>
  <c r="R13" i="3"/>
  <c r="Q13" i="3"/>
  <c r="L13" i="3"/>
  <c r="W13" i="3" s="1"/>
  <c r="K13" i="3"/>
  <c r="J13" i="3"/>
  <c r="U13" i="3" s="1"/>
  <c r="F13" i="3"/>
  <c r="D13" i="3"/>
  <c r="X12" i="3"/>
  <c r="T12" i="3"/>
  <c r="S12" i="3"/>
  <c r="R12" i="3"/>
  <c r="Q12" i="3"/>
  <c r="L12" i="3"/>
  <c r="W12" i="3" s="1"/>
  <c r="K12" i="3"/>
  <c r="J12" i="3"/>
  <c r="U12" i="3" s="1"/>
  <c r="D12" i="3"/>
  <c r="X11" i="3"/>
  <c r="T11" i="3"/>
  <c r="S11" i="3"/>
  <c r="R11" i="3"/>
  <c r="Q11" i="3"/>
  <c r="L11" i="3"/>
  <c r="W11" i="3" s="1"/>
  <c r="K11" i="3"/>
  <c r="J11" i="3"/>
  <c r="U11" i="3" s="1"/>
  <c r="D11" i="3"/>
  <c r="X93" i="3"/>
  <c r="T93" i="3"/>
  <c r="S93" i="3"/>
  <c r="R93" i="3"/>
  <c r="Q93" i="3"/>
  <c r="L93" i="3"/>
  <c r="W93" i="3" s="1"/>
  <c r="K93" i="3"/>
  <c r="J93" i="3"/>
  <c r="U93" i="3" s="1"/>
  <c r="D93" i="3"/>
  <c r="X92" i="3"/>
  <c r="T92" i="3"/>
  <c r="S92" i="3"/>
  <c r="R92" i="3"/>
  <c r="Q92" i="3"/>
  <c r="L92" i="3"/>
  <c r="W92" i="3" s="1"/>
  <c r="K92" i="3"/>
  <c r="J92" i="3"/>
  <c r="U92" i="3" s="1"/>
  <c r="D92" i="3"/>
  <c r="X91" i="3"/>
  <c r="T91" i="3"/>
  <c r="S91" i="3"/>
  <c r="R91" i="3"/>
  <c r="Q91" i="3"/>
  <c r="L91" i="3"/>
  <c r="W91" i="3" s="1"/>
  <c r="K91" i="3"/>
  <c r="J91" i="3"/>
  <c r="U91" i="3" s="1"/>
  <c r="D91" i="3"/>
  <c r="X88" i="3"/>
  <c r="T88" i="3"/>
  <c r="S88" i="3"/>
  <c r="R88" i="3"/>
  <c r="Q88" i="3"/>
  <c r="L88" i="3"/>
  <c r="W88" i="3" s="1"/>
  <c r="K88" i="3"/>
  <c r="J88" i="3"/>
  <c r="U88" i="3" s="1"/>
  <c r="D88" i="3"/>
  <c r="X87" i="3"/>
  <c r="T87" i="3"/>
  <c r="S87" i="3"/>
  <c r="R87" i="3"/>
  <c r="Q87" i="3"/>
  <c r="L87" i="3"/>
  <c r="W87" i="3" s="1"/>
  <c r="K87" i="3"/>
  <c r="J87" i="3"/>
  <c r="U87" i="3" s="1"/>
  <c r="D87" i="3"/>
  <c r="X90" i="3"/>
  <c r="T90" i="3"/>
  <c r="S90" i="3"/>
  <c r="R90" i="3"/>
  <c r="Q90" i="3"/>
  <c r="L90" i="3"/>
  <c r="W90" i="3" s="1"/>
  <c r="K90" i="3"/>
  <c r="J90" i="3"/>
  <c r="U90" i="3" s="1"/>
  <c r="F90" i="3"/>
  <c r="D90" i="3"/>
  <c r="X89" i="3"/>
  <c r="T89" i="3"/>
  <c r="S89" i="3"/>
  <c r="R89" i="3"/>
  <c r="Q89" i="3"/>
  <c r="L89" i="3"/>
  <c r="W89" i="3" s="1"/>
  <c r="K89" i="3"/>
  <c r="J89" i="3"/>
  <c r="U89" i="3" s="1"/>
  <c r="D89" i="3"/>
  <c r="X86" i="3"/>
  <c r="T86" i="3"/>
  <c r="S86" i="3"/>
  <c r="R86" i="3"/>
  <c r="Q86" i="3"/>
  <c r="L86" i="3"/>
  <c r="W86" i="3" s="1"/>
  <c r="K86" i="3"/>
  <c r="J86" i="3"/>
  <c r="U86" i="3" s="1"/>
  <c r="D86" i="3"/>
  <c r="X85" i="3"/>
  <c r="T85" i="3"/>
  <c r="S85" i="3"/>
  <c r="R85" i="3"/>
  <c r="Q85" i="3"/>
  <c r="L85" i="3"/>
  <c r="W85" i="3" s="1"/>
  <c r="K85" i="3"/>
  <c r="J85" i="3"/>
  <c r="U85" i="3" s="1"/>
  <c r="D85" i="3"/>
  <c r="X84" i="3"/>
  <c r="T84" i="3"/>
  <c r="S84" i="3"/>
  <c r="R84" i="3"/>
  <c r="Q84" i="3"/>
  <c r="L84" i="3"/>
  <c r="W84" i="3" s="1"/>
  <c r="K84" i="3"/>
  <c r="J84" i="3"/>
  <c r="U84" i="3" s="1"/>
  <c r="D84" i="3"/>
  <c r="X46" i="3"/>
  <c r="T46" i="3"/>
  <c r="S46" i="3"/>
  <c r="R46" i="3"/>
  <c r="Q46" i="3"/>
  <c r="L46" i="3"/>
  <c r="W46" i="3" s="1"/>
  <c r="K46" i="3"/>
  <c r="J46" i="3"/>
  <c r="U46" i="3" s="1"/>
  <c r="D46" i="3"/>
  <c r="X10" i="3"/>
  <c r="T10" i="3"/>
  <c r="S10" i="3"/>
  <c r="R10" i="3"/>
  <c r="Q10" i="3"/>
  <c r="L10" i="3"/>
  <c r="W10" i="3" s="1"/>
  <c r="K10" i="3"/>
  <c r="J10" i="3"/>
  <c r="U10" i="3" s="1"/>
  <c r="F10" i="3"/>
  <c r="D10" i="3"/>
  <c r="X9" i="3"/>
  <c r="T9" i="3"/>
  <c r="S9" i="3"/>
  <c r="R9" i="3"/>
  <c r="Q9" i="3"/>
  <c r="L9" i="3"/>
  <c r="W9" i="3" s="1"/>
  <c r="K9" i="3"/>
  <c r="J9" i="3"/>
  <c r="U9" i="3" s="1"/>
  <c r="D9" i="3"/>
  <c r="X8" i="3"/>
  <c r="T8" i="3"/>
  <c r="S8" i="3"/>
  <c r="R8" i="3"/>
  <c r="Q8" i="3"/>
  <c r="L8" i="3"/>
  <c r="W8" i="3" s="1"/>
  <c r="K8" i="3"/>
  <c r="J8" i="3"/>
  <c r="U8" i="3" s="1"/>
  <c r="D8" i="3"/>
  <c r="X7" i="3"/>
  <c r="T7" i="3"/>
  <c r="S7" i="3"/>
  <c r="R7" i="3"/>
  <c r="Q7" i="3"/>
  <c r="L7" i="3"/>
  <c r="W7" i="3" s="1"/>
  <c r="K7" i="3"/>
  <c r="J7" i="3"/>
  <c r="U7" i="3" s="1"/>
  <c r="D7" i="3"/>
  <c r="X6" i="3"/>
  <c r="T6" i="3"/>
  <c r="S6" i="3"/>
  <c r="R6" i="3"/>
  <c r="Q6" i="3"/>
  <c r="L6" i="3"/>
  <c r="W6" i="3" s="1"/>
  <c r="K6" i="3"/>
  <c r="J6" i="3"/>
  <c r="U6" i="3" s="1"/>
  <c r="D6" i="3"/>
  <c r="X5" i="3"/>
  <c r="T5" i="3"/>
  <c r="S5" i="3"/>
  <c r="R5" i="3"/>
  <c r="Q5" i="3"/>
  <c r="L5" i="3"/>
  <c r="W5" i="3" s="1"/>
  <c r="K5" i="3"/>
  <c r="J5" i="3"/>
  <c r="U5" i="3" s="1"/>
  <c r="D5" i="3"/>
  <c r="X4" i="3"/>
  <c r="T4" i="3"/>
  <c r="S4" i="3"/>
  <c r="R4" i="3"/>
  <c r="Q4" i="3"/>
  <c r="L4" i="3"/>
  <c r="W4" i="3" s="1"/>
  <c r="K4" i="3"/>
  <c r="J4" i="3"/>
  <c r="U4" i="3" s="1"/>
  <c r="F4" i="3"/>
  <c r="D4" i="3"/>
  <c r="X3" i="3"/>
  <c r="T3" i="3"/>
  <c r="S3" i="3"/>
  <c r="R3" i="3"/>
  <c r="Q3" i="3"/>
  <c r="L3" i="3"/>
  <c r="W3" i="3" s="1"/>
  <c r="K3" i="3"/>
  <c r="J3" i="3"/>
  <c r="U3" i="3" s="1"/>
  <c r="D3" i="3"/>
  <c r="X2" i="3"/>
  <c r="T2" i="3"/>
  <c r="S2" i="3"/>
  <c r="R2" i="3"/>
  <c r="Q2" i="3"/>
  <c r="L2" i="3"/>
  <c r="W2" i="3" s="1"/>
  <c r="K2" i="3"/>
  <c r="J2" i="3"/>
  <c r="U2" i="3" s="1"/>
  <c r="D2" i="3"/>
  <c r="Y87" i="3" l="1"/>
  <c r="Y39" i="3"/>
  <c r="Y72" i="3"/>
  <c r="Y77" i="3"/>
  <c r="Y78" i="3"/>
  <c r="Y57" i="3"/>
  <c r="Y80" i="3"/>
  <c r="AA80" i="3" s="1"/>
  <c r="AB80" i="3" s="1"/>
  <c r="AC80" i="3" s="1"/>
  <c r="Y15" i="3"/>
  <c r="Y98" i="3"/>
  <c r="Y2" i="3"/>
  <c r="Y30" i="3"/>
  <c r="Y40" i="3"/>
  <c r="Y49" i="3"/>
  <c r="Y88" i="3"/>
  <c r="Y14" i="3"/>
  <c r="Y79" i="3"/>
  <c r="Y71" i="3"/>
  <c r="Y10" i="3"/>
  <c r="Y42" i="3"/>
  <c r="AA98" i="3"/>
  <c r="AB98" i="3" s="1"/>
  <c r="AC98" i="3" s="1"/>
  <c r="Y91" i="3"/>
  <c r="Y65" i="3"/>
  <c r="Y86" i="3"/>
  <c r="Y31" i="3"/>
  <c r="Y73" i="3"/>
  <c r="Y17" i="3"/>
  <c r="Y16" i="3"/>
  <c r="Y93" i="3"/>
  <c r="Y23" i="3"/>
  <c r="Y63" i="3"/>
  <c r="Y68" i="3"/>
  <c r="Y44" i="3"/>
  <c r="Y48" i="3"/>
  <c r="Y99" i="3"/>
  <c r="Y66" i="3"/>
  <c r="Y36" i="3"/>
  <c r="Y81" i="3"/>
  <c r="Y96" i="3"/>
  <c r="Y46" i="3"/>
  <c r="Y3" i="3"/>
  <c r="Y20" i="3"/>
  <c r="Y50" i="3"/>
  <c r="Y84" i="3"/>
  <c r="Y24" i="3"/>
  <c r="Y64" i="3"/>
  <c r="Y95" i="3"/>
  <c r="Y9" i="3"/>
  <c r="Y32" i="3"/>
  <c r="Y37" i="3"/>
  <c r="Y45" i="3"/>
  <c r="Y56" i="3"/>
  <c r="Y59" i="3"/>
  <c r="Y97" i="3"/>
  <c r="Y67" i="3"/>
  <c r="Y33" i="3"/>
  <c r="Y38" i="3"/>
  <c r="Y47" i="3"/>
  <c r="Y53" i="3"/>
  <c r="Y101" i="3"/>
  <c r="Y89" i="3"/>
  <c r="AA87" i="3"/>
  <c r="AB87" i="3" s="1"/>
  <c r="AC87" i="3" s="1"/>
  <c r="AA17" i="3"/>
  <c r="AB17" i="3" s="1"/>
  <c r="AC17" i="3" s="1"/>
  <c r="Y61" i="3"/>
  <c r="AA77" i="3"/>
  <c r="AB77" i="3" s="1"/>
  <c r="AC77" i="3" s="1"/>
  <c r="Y83" i="3"/>
  <c r="Y58" i="3"/>
  <c r="Y74" i="3"/>
  <c r="Y21" i="3"/>
  <c r="Y41" i="3"/>
  <c r="Y43" i="3"/>
  <c r="Y7" i="3"/>
  <c r="Y26" i="3"/>
  <c r="Y29" i="3"/>
  <c r="AA37" i="3"/>
  <c r="AB37" i="3" s="1"/>
  <c r="AC37" i="3" s="1"/>
  <c r="Y55" i="3"/>
  <c r="Y28" i="3"/>
  <c r="AA28" i="3" s="1"/>
  <c r="AB28" i="3" s="1"/>
  <c r="AC28" i="3" s="1"/>
  <c r="Y82" i="3"/>
  <c r="Y100" i="3"/>
  <c r="Y13" i="3"/>
  <c r="Y19" i="3"/>
  <c r="Y22" i="3"/>
  <c r="Y54" i="3"/>
  <c r="Y62" i="3"/>
  <c r="Y70" i="3"/>
  <c r="Y76" i="3"/>
  <c r="AA78" i="3"/>
  <c r="AB78" i="3" s="1"/>
  <c r="AC78" i="3" s="1"/>
  <c r="Y92" i="3"/>
  <c r="Y4" i="3"/>
  <c r="Y90" i="3"/>
  <c r="Y25" i="3"/>
  <c r="AA63" i="3"/>
  <c r="AB63" i="3" s="1"/>
  <c r="AC63" i="3" s="1"/>
  <c r="AA39" i="3"/>
  <c r="AB39" i="3" s="1"/>
  <c r="AC39" i="3" s="1"/>
  <c r="AA57" i="3"/>
  <c r="AB57" i="3" s="1"/>
  <c r="AC57" i="3" s="1"/>
  <c r="AA72" i="3"/>
  <c r="AB72" i="3" s="1"/>
  <c r="AC72" i="3" s="1"/>
  <c r="Y85" i="3"/>
  <c r="Y35" i="3"/>
  <c r="Y52" i="3"/>
  <c r="Y6" i="3"/>
  <c r="Y12" i="3"/>
  <c r="Y18" i="3"/>
  <c r="Y34" i="3"/>
  <c r="Y94" i="3"/>
  <c r="Y5" i="3"/>
  <c r="Y75" i="3"/>
  <c r="Y11" i="3"/>
  <c r="Y51" i="3"/>
  <c r="Y8" i="3"/>
  <c r="Y27" i="3"/>
  <c r="Y60" i="3"/>
  <c r="Y69" i="3"/>
  <c r="AA30" i="3" l="1"/>
  <c r="AB30" i="3" s="1"/>
  <c r="AC30" i="3" s="1"/>
  <c r="AA2" i="3"/>
  <c r="AB2" i="3" s="1"/>
  <c r="AC2" i="3" s="1"/>
  <c r="AA45" i="3"/>
  <c r="AB45" i="3" s="1"/>
  <c r="AC45" i="3" s="1"/>
  <c r="AA56" i="3"/>
  <c r="AB56" i="3" s="1"/>
  <c r="AC56" i="3" s="1"/>
  <c r="AA31" i="3"/>
  <c r="AB31" i="3" s="1"/>
  <c r="AC31" i="3" s="1"/>
  <c r="AA79" i="3"/>
  <c r="AB79" i="3" s="1"/>
  <c r="AC79" i="3" s="1"/>
  <c r="AA60" i="3"/>
  <c r="AB60" i="3" s="1"/>
  <c r="AC60" i="3" s="1"/>
  <c r="AA86" i="3"/>
  <c r="AB86" i="3" s="1"/>
  <c r="AC86" i="3" s="1"/>
  <c r="AA46" i="3"/>
  <c r="AB46" i="3" s="1"/>
  <c r="AC46" i="3" s="1"/>
  <c r="AA15" i="3"/>
  <c r="AB15" i="3" s="1"/>
  <c r="AC15" i="3" s="1"/>
  <c r="AA99" i="3"/>
  <c r="AB99" i="3" s="1"/>
  <c r="AC99" i="3" s="1"/>
  <c r="AA42" i="3"/>
  <c r="AB42" i="3" s="1"/>
  <c r="AC42" i="3" s="1"/>
  <c r="AA82" i="3"/>
  <c r="AB82" i="3" s="1"/>
  <c r="AC82" i="3" s="1"/>
  <c r="AA62" i="3"/>
  <c r="AB62" i="3" s="1"/>
  <c r="AC62" i="3" s="1"/>
  <c r="AA16" i="3"/>
  <c r="AB16" i="3" s="1"/>
  <c r="AC16" i="3" s="1"/>
  <c r="AA101" i="3"/>
  <c r="AB101" i="3" s="1"/>
  <c r="AC101" i="3" s="1"/>
  <c r="AA93" i="3"/>
  <c r="AB93" i="3" s="1"/>
  <c r="AC93" i="3" s="1"/>
  <c r="AA33" i="3"/>
  <c r="AB33" i="3" s="1"/>
  <c r="AC33" i="3" s="1"/>
  <c r="AA83" i="3"/>
  <c r="AB83" i="3" s="1"/>
  <c r="AC83" i="3" s="1"/>
  <c r="AA4" i="3"/>
  <c r="AB4" i="3" s="1"/>
  <c r="AC4" i="3" s="1"/>
  <c r="AA73" i="3"/>
  <c r="AB73" i="3" s="1"/>
  <c r="AC73" i="3" s="1"/>
  <c r="AA58" i="3"/>
  <c r="AB58" i="3" s="1"/>
  <c r="AC58" i="3" s="1"/>
  <c r="AA71" i="3"/>
  <c r="AB71" i="3" s="1"/>
  <c r="AC71" i="3" s="1"/>
  <c r="AA14" i="3"/>
  <c r="AB14" i="3" s="1"/>
  <c r="AC14" i="3" s="1"/>
  <c r="AA10" i="3"/>
  <c r="AB10" i="3" s="1"/>
  <c r="AC10" i="3" s="1"/>
  <c r="AA55" i="3"/>
  <c r="AB55" i="3" s="1"/>
  <c r="AC55" i="3" s="1"/>
  <c r="AA12" i="3"/>
  <c r="AB12" i="3" s="1"/>
  <c r="AC12" i="3" s="1"/>
  <c r="AA96" i="3"/>
  <c r="AB96" i="3" s="1"/>
  <c r="AC96" i="3" s="1"/>
  <c r="AA59" i="3"/>
  <c r="AB59" i="3" s="1"/>
  <c r="AC59" i="3" s="1"/>
  <c r="AA50" i="3"/>
  <c r="AB50" i="3" s="1"/>
  <c r="AC50" i="3" s="1"/>
  <c r="AA97" i="3"/>
  <c r="AB97" i="3" s="1"/>
  <c r="AC97" i="3" s="1"/>
  <c r="AA54" i="3"/>
  <c r="AB54" i="3" s="1"/>
  <c r="AC54" i="3" s="1"/>
  <c r="AA49" i="3"/>
  <c r="AB49" i="3" s="1"/>
  <c r="AC49" i="3" s="1"/>
  <c r="AA44" i="3"/>
  <c r="AB44" i="3" s="1"/>
  <c r="AC44" i="3" s="1"/>
  <c r="AA48" i="3"/>
  <c r="AB48" i="3" s="1"/>
  <c r="AC48" i="3" s="1"/>
  <c r="AA41" i="3"/>
  <c r="AB41" i="3" s="1"/>
  <c r="AC41" i="3" s="1"/>
  <c r="AA5" i="3"/>
  <c r="AB5" i="3" s="1"/>
  <c r="AC5" i="3" s="1"/>
  <c r="AA3" i="3"/>
  <c r="AB3" i="3" s="1"/>
  <c r="AC3" i="3" s="1"/>
  <c r="AA20" i="3"/>
  <c r="AB20" i="3" s="1"/>
  <c r="AC20" i="3" s="1"/>
  <c r="AA13" i="3"/>
  <c r="AB13" i="3" s="1"/>
  <c r="AC13" i="3" s="1"/>
  <c r="AA100" i="3"/>
  <c r="AB100" i="3" s="1"/>
  <c r="AC100" i="3" s="1"/>
  <c r="AA61" i="3"/>
  <c r="AB61" i="3" s="1"/>
  <c r="AC61" i="3" s="1"/>
  <c r="AA47" i="3"/>
  <c r="AB47" i="3" s="1"/>
  <c r="AC47" i="3" s="1"/>
  <c r="AA65" i="3"/>
  <c r="AB65" i="3" s="1"/>
  <c r="AC65" i="3" s="1"/>
  <c r="AA26" i="3"/>
  <c r="AB26" i="3" s="1"/>
  <c r="AC26" i="3" s="1"/>
  <c r="AA53" i="3"/>
  <c r="AB53" i="3" s="1"/>
  <c r="AC53" i="3" s="1"/>
  <c r="AA67" i="3"/>
  <c r="AB67" i="3" s="1"/>
  <c r="AC67" i="3" s="1"/>
  <c r="AA34" i="3"/>
  <c r="AB34" i="3" s="1"/>
  <c r="AC34" i="3" s="1"/>
  <c r="AA24" i="3"/>
  <c r="AB24" i="3" s="1"/>
  <c r="AC24" i="3" s="1"/>
  <c r="AA74" i="3"/>
  <c r="AB74" i="3" s="1"/>
  <c r="AC74" i="3" s="1"/>
  <c r="AA40" i="3"/>
  <c r="AB40" i="3" s="1"/>
  <c r="AC40" i="3" s="1"/>
  <c r="AA91" i="3"/>
  <c r="AB91" i="3" s="1"/>
  <c r="AC91" i="3" s="1"/>
  <c r="AA32" i="3"/>
  <c r="AB32" i="3" s="1"/>
  <c r="AC32" i="3" s="1"/>
  <c r="AA76" i="3"/>
  <c r="AB76" i="3" s="1"/>
  <c r="AC76" i="3" s="1"/>
  <c r="AA88" i="3"/>
  <c r="AB88" i="3" s="1"/>
  <c r="AC88" i="3" s="1"/>
  <c r="AA8" i="3"/>
  <c r="AB8" i="3" s="1"/>
  <c r="AC8" i="3" s="1"/>
  <c r="AA68" i="3"/>
  <c r="AB68" i="3" s="1"/>
  <c r="AC68" i="3" s="1"/>
  <c r="AA23" i="3"/>
  <c r="AB23" i="3" s="1"/>
  <c r="AC23" i="3" s="1"/>
  <c r="AA66" i="3"/>
  <c r="AB66" i="3" s="1"/>
  <c r="AC66" i="3" s="1"/>
  <c r="AA95" i="3"/>
  <c r="AB95" i="3" s="1"/>
  <c r="AC95" i="3" s="1"/>
  <c r="AA38" i="3"/>
  <c r="AB38" i="3" s="1"/>
  <c r="AC38" i="3" s="1"/>
  <c r="AA7" i="3"/>
  <c r="AB7" i="3" s="1"/>
  <c r="AC7" i="3" s="1"/>
  <c r="AA27" i="3"/>
  <c r="AB27" i="3" s="1"/>
  <c r="AC27" i="3" s="1"/>
  <c r="AA51" i="3"/>
  <c r="AB51" i="3" s="1"/>
  <c r="AC51" i="3" s="1"/>
  <c r="AA36" i="3"/>
  <c r="AB36" i="3" s="1"/>
  <c r="AC36" i="3" s="1"/>
  <c r="AA92" i="3"/>
  <c r="AB92" i="3" s="1"/>
  <c r="AC92" i="3" s="1"/>
  <c r="AA70" i="3"/>
  <c r="AB70" i="3" s="1"/>
  <c r="AC70" i="3" s="1"/>
  <c r="AA75" i="3"/>
  <c r="AB75" i="3" s="1"/>
  <c r="AC75" i="3" s="1"/>
  <c r="AA90" i="3"/>
  <c r="AB90" i="3" s="1"/>
  <c r="AC90" i="3" s="1"/>
  <c r="AA64" i="3"/>
  <c r="AB64" i="3" s="1"/>
  <c r="AC64" i="3" s="1"/>
  <c r="AA29" i="3"/>
  <c r="AB29" i="3" s="1"/>
  <c r="AC29" i="3" s="1"/>
  <c r="AA9" i="3"/>
  <c r="AB9" i="3" s="1"/>
  <c r="AC9" i="3" s="1"/>
  <c r="AA43" i="3"/>
  <c r="AB43" i="3" s="1"/>
  <c r="AC43" i="3" s="1"/>
  <c r="AA81" i="3"/>
  <c r="AB81" i="3" s="1"/>
  <c r="AC81" i="3" s="1"/>
  <c r="AA84" i="3"/>
  <c r="AB84" i="3" s="1"/>
  <c r="AC84" i="3" s="1"/>
  <c r="AA19" i="3"/>
  <c r="AB19" i="3" s="1"/>
  <c r="AC19" i="3" s="1"/>
  <c r="AA94" i="3"/>
  <c r="AB94" i="3" s="1"/>
  <c r="AC94" i="3" s="1"/>
  <c r="AA21" i="3"/>
  <c r="AB21" i="3" s="1"/>
  <c r="AC21" i="3" s="1"/>
  <c r="AA89" i="3"/>
  <c r="AB89" i="3" s="1"/>
  <c r="AC89" i="3" s="1"/>
  <c r="AA25" i="3"/>
  <c r="AB25" i="3" s="1"/>
  <c r="AC25" i="3" s="1"/>
  <c r="AA22" i="3"/>
  <c r="AB22" i="3" s="1"/>
  <c r="AC22" i="3" s="1"/>
  <c r="AA69" i="3"/>
  <c r="AB69" i="3" s="1"/>
  <c r="AC69" i="3" s="1"/>
  <c r="AA11" i="3"/>
  <c r="AB11" i="3" s="1"/>
  <c r="AC11" i="3" s="1"/>
  <c r="AA52" i="3"/>
  <c r="AB52" i="3" s="1"/>
  <c r="AC52" i="3" s="1"/>
  <c r="AA35" i="3"/>
  <c r="AB35" i="3" s="1"/>
  <c r="AC35" i="3" s="1"/>
  <c r="AA18" i="3"/>
  <c r="AB18" i="3" s="1"/>
  <c r="AC18" i="3" s="1"/>
  <c r="AA6" i="3"/>
  <c r="AB6" i="3" s="1"/>
  <c r="AC6" i="3" s="1"/>
  <c r="AA85" i="3"/>
  <c r="AB85" i="3" s="1"/>
  <c r="AC85" i="3" s="1"/>
</calcChain>
</file>

<file path=xl/sharedStrings.xml><?xml version="1.0" encoding="utf-8"?>
<sst xmlns="http://schemas.openxmlformats.org/spreadsheetml/2006/main" count="1179" uniqueCount="288">
  <si>
    <t>VIN</t>
  </si>
  <si>
    <t>CEO Escalated</t>
  </si>
  <si>
    <t>Dealer BAC</t>
  </si>
  <si>
    <t>Dealer Name</t>
  </si>
  <si>
    <t>RO Open Date</t>
  </si>
  <si>
    <t>Days Down</t>
  </si>
  <si>
    <t>Repeat Repairs</t>
  </si>
  <si>
    <t>Mobility Status</t>
  </si>
  <si>
    <t>Dealer NPS</t>
  </si>
  <si>
    <t>Dealer Repeat Repair %</t>
  </si>
  <si>
    <t>Dealer Training Completion %</t>
  </si>
  <si>
    <t>Agent Transfers</t>
  </si>
  <si>
    <t>Missed Callbacks</t>
  </si>
  <si>
    <t>CAC Contacts</t>
  </si>
  <si>
    <t>Case Reopens</t>
  </si>
  <si>
    <t>Mobility Multiplier</t>
  </si>
  <si>
    <t>Repeat Repair Multiplier</t>
  </si>
  <si>
    <t>Missed Callback Multiplier</t>
  </si>
  <si>
    <t>Agent Transfer Multiplier</t>
  </si>
  <si>
    <t>Dealer NPS Multiplier</t>
  </si>
  <si>
    <t>Dealer RR Multiplier</t>
  </si>
  <si>
    <t>Training Multiplier</t>
  </si>
  <si>
    <t>Time Decay</t>
  </si>
  <si>
    <t>Idiosyncratic Risk</t>
  </si>
  <si>
    <t>Systemic Risk</t>
  </si>
  <si>
    <t>Total Risk Score</t>
  </si>
  <si>
    <t>Capped Risk Score</t>
  </si>
  <si>
    <t>Risk Band</t>
  </si>
  <si>
    <t>98NHIHHW64RX2DX62</t>
  </si>
  <si>
    <t>No Loaner Coverage</t>
  </si>
  <si>
    <t>7BUBE3U7QANV79ROD</t>
  </si>
  <si>
    <t>External Rental</t>
  </si>
  <si>
    <t>MT7JESIDFBHLK1KSG</t>
  </si>
  <si>
    <t>JXKUOGFH6RH69QFGD</t>
  </si>
  <si>
    <t>UTZSX3SO8HYO1E9MC</t>
  </si>
  <si>
    <t>K8RGIPX8FOH9FBCO6</t>
  </si>
  <si>
    <t>13WQUI8MW33QKTE4M</t>
  </si>
  <si>
    <t>OL9F0XB46W03FSS42</t>
  </si>
  <si>
    <t>Loaner Covered</t>
  </si>
  <si>
    <t>E79RB7N6W3F2HO43G</t>
  </si>
  <si>
    <t>PG0B3JX9VXLABFWPS</t>
  </si>
  <si>
    <t>080L5LI6WYX9Q4Z4P</t>
  </si>
  <si>
    <t>KIKQFQJ89TI8LMANR</t>
  </si>
  <si>
    <t>18DVWHNFHJVXHALYG</t>
  </si>
  <si>
    <t>L0F4RCNUPYF2NXWPN</t>
  </si>
  <si>
    <t>31BBC7J06MJ8WJZLJ</t>
  </si>
  <si>
    <t>7TZB0Q1XKB7EQMK09</t>
  </si>
  <si>
    <t>39XMTEA8XS7P53HJK</t>
  </si>
  <si>
    <t>Z0CVN336C567DHEB4</t>
  </si>
  <si>
    <t>KAG7VX26WWWZVYHYQ</t>
  </si>
  <si>
    <t>JOAPPZMJI07SH2OHE</t>
  </si>
  <si>
    <t>EP1FRBY1U5LZVUQ48</t>
  </si>
  <si>
    <t>8TFTAT95ZJNG1T2LI</t>
  </si>
  <si>
    <t>0ULHWC6FAD7MFBBYW</t>
  </si>
  <si>
    <t>A16W7AIR88NJPR7G2</t>
  </si>
  <si>
    <t>NYV63KAJPV35B335U</t>
  </si>
  <si>
    <t>5097LG70BXNNLGAKM</t>
  </si>
  <si>
    <t>O7349IDFSY7ZX1QTB</t>
  </si>
  <si>
    <t>LKB62ZA40Q0QIDIBM</t>
  </si>
  <si>
    <t>0Z4ZJTP2SJX8H5AJI</t>
  </si>
  <si>
    <t>ATX6DWNSFKS7DR28H</t>
  </si>
  <si>
    <t>282UKC9Z3LV93VLP5</t>
  </si>
  <si>
    <t>UFS8E3S5ZI6RAARQK</t>
  </si>
  <si>
    <t>394330ISMBBKJY8Q7</t>
  </si>
  <si>
    <t>LFXCTNCSBPCDP3EIW</t>
  </si>
  <si>
    <t>4JNJPGAZKIKRPWXN7</t>
  </si>
  <si>
    <t>Y1WXCFJ0KUACJYYYK</t>
  </si>
  <si>
    <t>51Z4YXQLWDP2ZWJPQ</t>
  </si>
  <si>
    <t>9DR346BKEG9U7N5QJ</t>
  </si>
  <si>
    <t>GA2GR0ULST2DUIJ1S</t>
  </si>
  <si>
    <t>HOSNEI06BU1B4EVTW</t>
  </si>
  <si>
    <t>6EIXAAMDMIVVHWRE7</t>
  </si>
  <si>
    <t>1RG2L28OO80GEF63F</t>
  </si>
  <si>
    <t>SJS9X2LLKVW2B05TB</t>
  </si>
  <si>
    <t>IO5CQT535KOM58FGI</t>
  </si>
  <si>
    <t>O2YSWQFVO06PU0PIZ</t>
  </si>
  <si>
    <t>MAJA0TGR7D3PR4OSY</t>
  </si>
  <si>
    <t>6BTOIC2AT7FHVSX3G</t>
  </si>
  <si>
    <t>X4NP8CWWBVY7L9SR6</t>
  </si>
  <si>
    <t>8E8HM33PBRN7GN6BO</t>
  </si>
  <si>
    <t>KQ8X5RII8ZLARYPJY</t>
  </si>
  <si>
    <t>RXCZX93KNYAQGEC1E</t>
  </si>
  <si>
    <t>LH2TCDOTXDFZOKL8L</t>
  </si>
  <si>
    <t>59JDDRZQIPWY04XE4</t>
  </si>
  <si>
    <t>G90D8DN920PHWDHNB</t>
  </si>
  <si>
    <t>PJBD4K7IJSGN853W6</t>
  </si>
  <si>
    <t>1Z40DWZQ7J8ZAAX3C</t>
  </si>
  <si>
    <t>DWC2Z2WMOO6D5AHJ6</t>
  </si>
  <si>
    <t>8UO9B4KFEL3GUXNTC</t>
  </si>
  <si>
    <t>J43Y6MDT2H17IVYQH</t>
  </si>
  <si>
    <t>H19ARR2GRM3J7KHZR</t>
  </si>
  <si>
    <t>903G9R86F27CM1F6J</t>
  </si>
  <si>
    <t>U16PWSSYQTR7Z57JU</t>
  </si>
  <si>
    <t>FML4A14E7Z6KNO9VM</t>
  </si>
  <si>
    <t>3V6YYIBEMD4UWWYRA</t>
  </si>
  <si>
    <t>5TJIFRCQFRRT5A4QU</t>
  </si>
  <si>
    <t>EPDPSBWC01SBSN8E4</t>
  </si>
  <si>
    <t>3W3WKDD1HLPAJKZNL</t>
  </si>
  <si>
    <t>1DGB16XN32UJKPLPX</t>
  </si>
  <si>
    <t>CHYPLVQK2ZIUS50K9</t>
  </si>
  <si>
    <t>MDIJU50OOSNMCJ8ES</t>
  </si>
  <si>
    <t>LWSC928DJB2JEP63J</t>
  </si>
  <si>
    <t>20STXC0JCJ0H09RNR</t>
  </si>
  <si>
    <t>7IBMPYH20SH8L3IH1</t>
  </si>
  <si>
    <t>SN5IQT11XMLF4X0GP</t>
  </si>
  <si>
    <t>8S4WBOP1MZTH5D3GA</t>
  </si>
  <si>
    <t>74EEPCICY26FZXF58</t>
  </si>
  <si>
    <t>MF62G6V2Y624HYT0P</t>
  </si>
  <si>
    <t>H8OR93FPSMHLZATPA</t>
  </si>
  <si>
    <t>BZWM5NRS1HPPT3K3O</t>
  </si>
  <si>
    <t>TWM5TU5D9WO2J9UM1</t>
  </si>
  <si>
    <t>2OODWCCHFMBAFDNA5</t>
  </si>
  <si>
    <t>SHSAJDOBAKIVT1XZ5</t>
  </si>
  <si>
    <t>LPUPXQPAWRI12QGRD</t>
  </si>
  <si>
    <t>4C362F3WAA8XJDFI1</t>
  </si>
  <si>
    <t>KUN0HIIF5ULO9SI3X</t>
  </si>
  <si>
    <t>IFDW52OJAXUMXP70I</t>
  </si>
  <si>
    <t>WOY7GX2NR9BTF27SD</t>
  </si>
  <si>
    <t>SQQE6H97AQ38QJH8H</t>
  </si>
  <si>
    <t>UMO59NH0HA6P3O5QF</t>
  </si>
  <si>
    <t>1UEQ5IGKZ4FFILSFL</t>
  </si>
  <si>
    <t>WFJMNE49QRDDMJ3FA</t>
  </si>
  <si>
    <t>IVJPE6MQV6P7STSAP</t>
  </si>
  <si>
    <t>031VLLN2CH1ICBTL9</t>
  </si>
  <si>
    <t>XHFAAYE8D5EAZI0GB</t>
  </si>
  <si>
    <t>2I7XKEJWZECSUNIVA</t>
  </si>
  <si>
    <t>W5HJIOQ845ABZ6RVA</t>
  </si>
  <si>
    <t>3FS7HJSLBGF7Y6G2E</t>
  </si>
  <si>
    <t>IRVJAPNU8YSWYB625</t>
  </si>
  <si>
    <t>F7UZDCYPC7W2D4C5Q</t>
  </si>
  <si>
    <t>9M3ZWOMBEC0JFD45Y</t>
  </si>
  <si>
    <t>CEO Escalation Risk Model</t>
  </si>
  <si>
    <t>Purpose</t>
  </si>
  <si>
    <t>Task</t>
  </si>
  <si>
    <t>(0.35×Mobility (Loaner Coverage) + 0.65×Repeat Repair) × (0.6×Missed Callbacks + 0.4×Agent Transfers)</t>
  </si>
  <si>
    <t>Time Trust Decay</t>
  </si>
  <si>
    <t>Describes acceleration of customer trust decay by illustrating a non-liner relationship between all defined risk factors. As repair delay increases, exposure to Lemon Law and repurchase likelihood increases.</t>
  </si>
  <si>
    <t>Total Risk</t>
  </si>
  <si>
    <t>Interpretation</t>
  </si>
  <si>
    <t>This is a predictive scoring tool, not a causality claim. It scores VIN-level escalation risk from customer friction, dealer environment, and time exposure.</t>
  </si>
  <si>
    <t>Dealer Code</t>
  </si>
  <si>
    <t>Desert Hyundai</t>
  </si>
  <si>
    <t>Huntington Beach Hyundai</t>
  </si>
  <si>
    <t>Hyundai Long Beach</t>
  </si>
  <si>
    <t>Hyundai San Diego</t>
  </si>
  <si>
    <t>Hyundai Santa Monica</t>
  </si>
  <si>
    <t>Keyes Hyundai</t>
  </si>
  <si>
    <t>Ontario Hyundai</t>
  </si>
  <si>
    <t>Riverside Hyundai</t>
  </si>
  <si>
    <t>Temecula Hyundai</t>
  </si>
  <si>
    <t>Victorville Hyundai</t>
  </si>
  <si>
    <t>Report Date</t>
  </si>
  <si>
    <t>Inbound Calls</t>
  </si>
  <si>
    <t>Mobility Disruption</t>
  </si>
  <si>
    <t>Status</t>
  </si>
  <si>
    <t>Multiplier</t>
  </si>
  <si>
    <t>Repeat Repair</t>
  </si>
  <si>
    <t>Count</t>
  </si>
  <si>
    <t>0-1</t>
  </si>
  <si>
    <t>2</t>
  </si>
  <si>
    <t>3</t>
  </si>
  <si>
    <t>4+</t>
  </si>
  <si>
    <t>0</t>
  </si>
  <si>
    <t>1</t>
  </si>
  <si>
    <t>2-3</t>
  </si>
  <si>
    <t>4-5</t>
  </si>
  <si>
    <t>6-7</t>
  </si>
  <si>
    <t>8+</t>
  </si>
  <si>
    <t>NPS</t>
  </si>
  <si>
    <t>85+</t>
  </si>
  <si>
    <t>75-84</t>
  </si>
  <si>
    <t>65-74</t>
  </si>
  <si>
    <t>55-64</t>
  </si>
  <si>
    <t>&lt;55</t>
  </si>
  <si>
    <t>Rate</t>
  </si>
  <si>
    <t>0-5%</t>
  </si>
  <si>
    <t>5.1-10%</t>
  </si>
  <si>
    <t>10.1-15%</t>
  </si>
  <si>
    <t>15.1%+</t>
  </si>
  <si>
    <t>Training Completion %</t>
  </si>
  <si>
    <t>Completion</t>
  </si>
  <si>
    <t>95-100%</t>
  </si>
  <si>
    <t>85-94%</t>
  </si>
  <si>
    <t>75-84%</t>
  </si>
  <si>
    <t>65-74%</t>
  </si>
  <si>
    <t>&lt;65%</t>
  </si>
  <si>
    <t>0-7</t>
  </si>
  <si>
    <t>8-14</t>
  </si>
  <si>
    <t>15-21</t>
  </si>
  <si>
    <t>22-29</t>
  </si>
  <si>
    <t>30+</t>
  </si>
  <si>
    <t>Variable</t>
  </si>
  <si>
    <t>Coefficient</t>
  </si>
  <si>
    <t>Likelihood Factor (Odds Ratio)</t>
  </si>
  <si>
    <t>Metric</t>
  </si>
  <si>
    <t>Value</t>
  </si>
  <si>
    <t>ROC AUC</t>
  </si>
  <si>
    <t>Escalated VINs</t>
  </si>
  <si>
    <t>Total VINs</t>
  </si>
  <si>
    <t>Risk Score Range</t>
  </si>
  <si>
    <t>1-3</t>
  </si>
  <si>
    <t>Low operational exposure</t>
  </si>
  <si>
    <t>3-6</t>
  </si>
  <si>
    <t>Moderate friction</t>
  </si>
  <si>
    <t>6-9</t>
  </si>
  <si>
    <t>High escalation risk</t>
  </si>
  <si>
    <t>9-12</t>
  </si>
  <si>
    <t>Severe exposure</t>
  </si>
  <si>
    <t>12-15</t>
  </si>
  <si>
    <t>Critical / Executive intervention</t>
  </si>
  <si>
    <t>ML Escalation Probability</t>
  </si>
  <si>
    <t>ML Operational Percentile</t>
  </si>
  <si>
    <t>ML Risk Band</t>
  </si>
  <si>
    <t>Critical</t>
  </si>
  <si>
    <t>Severe</t>
  </si>
  <si>
    <t>Low</t>
  </si>
  <si>
    <t>Elevated</t>
  </si>
  <si>
    <t>Feature</t>
  </si>
  <si>
    <t>Importance</t>
  </si>
  <si>
    <t>Model Type</t>
  </si>
  <si>
    <t>Clean Operational Gradient Boosting Prototype</t>
  </si>
  <si>
    <t>Target Variable</t>
  </si>
  <si>
    <t>Rows Used</t>
  </si>
  <si>
    <t>Features Used</t>
  </si>
  <si>
    <t>Reduce CEO/Executive escalations from customers via email, mail, or social media.</t>
  </si>
  <si>
    <t>Methodology</t>
  </si>
  <si>
    <t>Develop an operational risk framework that enables field teams to proactively identify VINs with the highest likelihood of executive escalation.</t>
  </si>
  <si>
    <t>Consolidated VIN-level operational data across dealer service operations (Aged RO tracking, NPS, training, warranty), customer assistance center interactions, and executive escalation reporting into a unified risk dataset.</t>
  </si>
  <si>
    <t>Structured the framework into Idiosyncratic Risk, Systemic Risk, and Gamma / Time Trust Decay components to create a bounded VIN-level prioritization model for proactive field intervention.</t>
  </si>
  <si>
    <t>Model Structure</t>
  </si>
  <si>
    <t>Key Insights</t>
  </si>
  <si>
    <t>Executive escalation risk was most strongly associated with compounded operational friction, particularly missed callbacks, repeated agent transfers, repeat repairs, and prolonged repair exposure over time.</t>
  </si>
  <si>
    <t>Dealer operational maturity variables such as technician training completion, dealer repeat repair performance, and NPS demonstrated meaningful influence on escalation likelihood, reinforcing the importance of systemic dealer capability.</t>
  </si>
  <si>
    <t>Predictive modeling demonstrated the ability to directionally identify high-risk VIN populations for proactive field intervention, enabling escalation prevention through earlier operational prioritization and communication ownership.</t>
  </si>
  <si>
    <t>Limitations</t>
  </si>
  <si>
    <t>Opportunities</t>
  </si>
  <si>
    <t>Notes</t>
  </si>
  <si>
    <t>Inside you'll have two outputs, as mentioned. The 100 sample VINs make for a statistically robust model, but the XG Boost component would need a significantly larger amount (5000+ VINs) to train on to be more accurate in its predictions.</t>
  </si>
  <si>
    <t>Hi Barry, this is the companion file for the presentation, in case you want to take a look under the hood. Different colored tabs highlight each component. There is a key below to help you navigate. All VIN/Dealer/Call Center data is simulated, generated from GPT 4.6, but all the calculations are manual. The AI/ML (XG Boost) component was completed with a Python script from Claude to help speed things up (over 200 lines of code!).</t>
  </si>
  <si>
    <t>KEY</t>
  </si>
  <si>
    <t>Yellow Tab</t>
  </si>
  <si>
    <t>Red Tab</t>
  </si>
  <si>
    <t>Navy Tab</t>
  </si>
  <si>
    <t>Light Blue Tab</t>
  </si>
  <si>
    <t>Green Tab</t>
  </si>
  <si>
    <t>Ready for operational use with risk framework summary, dashboard</t>
  </si>
  <si>
    <t>Master output sheet with unified reporting and risk scoring. Columns P-AB provide all calculations and a final risk score by VIN</t>
  </si>
  <si>
    <t>Underlying reports from business function groups (simulated)</t>
  </si>
  <si>
    <t>Please feel free to give me a call if you have any questions on anything. Thank you.</t>
  </si>
  <si>
    <t xml:space="preserve">XG Boost would benefit from larger dataset to train machine learning model. </t>
  </si>
  <si>
    <t>Applied regression analysis and a second layer of gradient boosting (Extreme Gradient (XG) Boost-style modeling) to identify the strongest operational drivers associated with executive escalation behavior and predictive escalation likelihood.</t>
  </si>
  <si>
    <t xml:space="preserve">Python XG Boost prototype script output based on 10 features (risk drivers). </t>
  </si>
  <si>
    <t>Regression data, muliplier tables derived from likelihood (based on regression results) and a risk scoring band to classify risk level. Essentially, statistical proof of significance for all risk drivers.</t>
  </si>
  <si>
    <r>
      <rPr>
        <sz val="11"/>
        <color theme="3"/>
        <rFont val="Calibri"/>
        <family val="2"/>
        <scheme val="minor"/>
      </rPr>
      <t xml:space="preserve">Systemic Risk (Servicing Dealer) </t>
    </r>
    <r>
      <rPr>
        <sz val="11"/>
        <rFont val="Calibri"/>
        <family val="2"/>
        <scheme val="minor"/>
      </rPr>
      <t>x</t>
    </r>
    <r>
      <rPr>
        <sz val="11"/>
        <color theme="6" tint="-0.249977111117893"/>
        <rFont val="Calibri"/>
        <family val="2"/>
        <scheme val="minor"/>
      </rPr>
      <t xml:space="preserve"> Idiosyncratic Risk</t>
    </r>
    <r>
      <rPr>
        <sz val="11"/>
        <rFont val="Calibri"/>
        <family val="2"/>
        <scheme val="minor"/>
      </rPr>
      <t xml:space="preserve"> x </t>
    </r>
    <r>
      <rPr>
        <sz val="11"/>
        <color rgb="FF7030A0"/>
        <rFont val="Calibri"/>
        <family val="2"/>
        <scheme val="minor"/>
      </rPr>
      <t>Time Trust Decay Factor (Gamma)</t>
    </r>
  </si>
  <si>
    <t>Call to Action</t>
  </si>
  <si>
    <t>By reducing information asymmetry across dealer operations, customer assistance, and field leadership teams, the framework enables proactive, data-driven collaboration around escalation prevention and customer retention.</t>
  </si>
  <si>
    <t>Likelihood Factor</t>
  </si>
  <si>
    <t>Risk Behavior</t>
  </si>
  <si>
    <t>Normal service friction</t>
  </si>
  <si>
    <t>Customer patience starts decaying</t>
  </si>
  <si>
    <t>Escalation probability rises</t>
  </si>
  <si>
    <t>Trust breakdown accelerates</t>
  </si>
  <si>
    <t>Risk compounds rapidly</t>
  </si>
  <si>
    <t>Idiosyncratic Risk Weighting: 0.30</t>
  </si>
  <si>
    <t>Time Trust Decay Factor</t>
  </si>
  <si>
    <t>Customer inconvenience escalates</t>
  </si>
  <si>
    <t>Customer begins researrching non-factory resolution</t>
  </si>
  <si>
    <t>Repurchase/legal risk expands</t>
  </si>
  <si>
    <t>Risk Driver</t>
  </si>
  <si>
    <t>Time Trust Decay Weighing  &amp; Convexity Explained</t>
  </si>
  <si>
    <t>Risk Acceleration</t>
  </si>
  <si>
    <t>Sample Risk Driver</t>
  </si>
  <si>
    <t>Base Risk</t>
  </si>
  <si>
    <t>Sample VIN</t>
  </si>
  <si>
    <t>Output</t>
  </si>
  <si>
    <t>((0.35×1.60)+(0.65×1.30)) × ((0.60×1.75)+(0.40×3.25))</t>
  </si>
  <si>
    <t>(0.45×1.25)+(0.35×1.10)+(0.20×1.30)</t>
  </si>
  <si>
    <t>Time Decay / Gamma</t>
  </si>
  <si>
    <t>30 Days Down</t>
  </si>
  <si>
    <t>Final Risk Score</t>
  </si>
  <si>
    <t>3.30 × 1.19 × 2.00</t>
  </si>
  <si>
    <t>Risk Driver Layers</t>
  </si>
  <si>
    <t>Mobility</t>
  </si>
  <si>
    <t>Call Transfers</t>
  </si>
  <si>
    <t>Area Manager</t>
  </si>
  <si>
    <t>Fred Mercury</t>
  </si>
  <si>
    <t>Shohei Ohtani</t>
  </si>
  <si>
    <t>0.35×Dealer NPS + 0.45×Dealer Repeat Repair % + 0.2×Training Deficiency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</si>
</sst>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0" fontId="1" fillId="3" borderId="0" xfId="0" applyFont="1" applyFill="1" applyAlignment="1">
      <alignment horizontal="center" vertical="center" wrapText="1"/>
    </xf>
    <xf numFmtId="2" fontId="0" fillId="4" borderId="1" xfId="0" applyNumberFormat="1" applyFill="1" applyBorder="1"/>
    <xf numFmtId="0" fontId="0" fillId="4" borderId="1" xfId="0" applyFill="1" applyBorder="1"/>
    <xf numFmtId="0" fontId="1" fillId="2" borderId="0" xfId="0" applyFont="1" applyFill="1"/>
    <xf numFmtId="0" fontId="2" fillId="5" borderId="0" xfId="0" applyFont="1" applyFill="1"/>
    <xf numFmtId="2" fontId="0" fillId="0" borderId="0" xfId="0" applyNumberFormat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5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/>
    </xf>
    <xf numFmtId="14" fontId="3" fillId="2" borderId="0" xfId="0" applyNumberFormat="1" applyFont="1" applyFill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" fontId="1" fillId="2" borderId="0" xfId="0" applyNumberFormat="1" applyFont="1" applyFill="1" applyAlignment="1">
      <alignment horizontal="center" vertical="center" wrapText="1"/>
    </xf>
    <xf numFmtId="1" fontId="0" fillId="0" borderId="0" xfId="0" applyNumberFormat="1"/>
    <xf numFmtId="14" fontId="0" fillId="0" borderId="1" xfId="0" applyNumberFormat="1" applyBorder="1"/>
    <xf numFmtId="14" fontId="0" fillId="0" borderId="0" xfId="0" applyNumberFormat="1"/>
    <xf numFmtId="0" fontId="7" fillId="0" borderId="0" xfId="0" applyFont="1"/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0" fillId="7" borderId="0" xfId="0" applyFill="1" applyAlignment="1">
      <alignment wrapText="1"/>
    </xf>
    <xf numFmtId="0" fontId="6" fillId="8" borderId="0" xfId="0" applyFont="1" applyFill="1" applyAlignment="1">
      <alignment wrapText="1"/>
    </xf>
    <xf numFmtId="0" fontId="5" fillId="7" borderId="0" xfId="0" applyFont="1" applyFill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9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13" fillId="8" borderId="0" xfId="0" applyFont="1" applyFill="1" applyAlignment="1">
      <alignment wrapText="1"/>
    </xf>
    <xf numFmtId="0" fontId="14" fillId="8" borderId="0" xfId="0" applyFont="1" applyFill="1" applyAlignment="1">
      <alignment wrapText="1"/>
    </xf>
    <xf numFmtId="0" fontId="11" fillId="9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4" fillId="1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17" fontId="5" fillId="0" borderId="2" xfId="0" applyNumberFormat="1" applyFont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 wrapText="1"/>
    </xf>
    <xf numFmtId="49" fontId="4" fillId="14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2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11" fillId="9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horizontal="right" vertical="center" wrapText="1"/>
    </xf>
    <xf numFmtId="0" fontId="10" fillId="0" borderId="0" xfId="0" applyFont="1"/>
    <xf numFmtId="0" fontId="9" fillId="9" borderId="0" xfId="0" applyFont="1" applyFill="1" applyAlignment="1">
      <alignment horizontal="center" vertical="center"/>
    </xf>
    <xf numFmtId="0" fontId="12" fillId="15" borderId="3" xfId="0" applyFont="1" applyFill="1" applyBorder="1" applyAlignment="1">
      <alignment horizontal="center" vertical="center" wrapText="1"/>
    </xf>
    <xf numFmtId="0" fontId="12" fillId="1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29"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numFmt numFmtId="1" formatCode="0"/>
      <alignment horizontal="center"/>
    </dxf>
    <dxf>
      <numFmt numFmtId="1" formatCode="0"/>
      <alignment horizontal="center"/>
    </dxf>
    <dxf>
      <numFmt numFmtId="1" formatCode="0"/>
      <alignment horizontal="center"/>
    </dxf>
    <dxf>
      <numFmt numFmtId="1" formatCode="0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m/d/yyyy"/>
      <alignment horizontal="center" vertical="bottom"/>
      <border outline="0">
        <left/>
        <right/>
        <top/>
        <bottom style="thin">
          <color rgb="FFD9E1F2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numFmt numFmtId="1" formatCode="0"/>
      <alignment horizontal="center" vertical="bottom"/>
      <border outline="0">
        <left/>
        <right/>
        <top/>
        <bottom style="thin">
          <color rgb="FFD9E1F2"/>
        </bottom>
      </border>
    </dxf>
    <dxf>
      <numFmt numFmtId="1" formatCode="0"/>
      <alignment horizontal="center"/>
    </dxf>
    <dxf>
      <alignment horizontal="general" vertical="bottom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2" formatCode="0.00"/>
    </dxf>
    <dxf>
      <numFmt numFmtId="19" formatCode="m/d/yyyy"/>
      <border outline="0">
        <left/>
        <right/>
        <top/>
        <bottom style="thin">
          <color rgb="FFD9E1F2"/>
        </bottom>
      </border>
    </dxf>
    <dxf>
      <numFmt numFmtId="1" formatCode="0"/>
      <border diagonalUp="0" diagonalDown="0">
        <left/>
        <right/>
        <top/>
        <bottom style="thin">
          <color rgb="FFD9E1F2"/>
        </bottom>
        <vertical/>
        <horizontal/>
      </border>
    </dxf>
    <dxf>
      <numFmt numFmtId="1" formatCode="0"/>
      <border outline="0">
        <left/>
        <right/>
        <top/>
        <bottom style="thin">
          <color rgb="FFD9E1F2"/>
        </bottom>
      </border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171450</xdr:rowOff>
    </xdr:from>
    <xdr:to>
      <xdr:col>2</xdr:col>
      <xdr:colOff>2832100</xdr:colOff>
      <xdr:row>19</xdr:row>
      <xdr:rowOff>22638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83FCE12-5E45-4415-9128-712E83950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00850"/>
          <a:ext cx="7315200" cy="316588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Unified_Risk_Table" displayName="Unified_Risk_Table" ref="A1:AC101">
  <autoFilter ref="A1:AC101" xr:uid="{00000000-0009-0000-0100-000002000000}"/>
  <sortState xmlns:xlrd2="http://schemas.microsoft.com/office/spreadsheetml/2017/richdata2" ref="A2:AC101">
    <sortCondition ref="AC1:AC101"/>
  </sortState>
  <tableColumns count="29">
    <tableColumn id="1" xr3:uid="{00000000-0010-0000-0100-000001000000}" name="VIN"/>
    <tableColumn id="2" xr3:uid="{00000000-0010-0000-0100-000002000000}" name="CEO Escalated" dataDxfId="28"/>
    <tableColumn id="3" xr3:uid="{00000000-0010-0000-0100-000003000000}" name="Dealer BAC" dataDxfId="27"/>
    <tableColumn id="27" xr3:uid="{00000000-0010-0000-0100-00001B000000}" name="Dealer Name" dataDxfId="26">
      <calculatedColumnFormula>_xlfn.XLOOKUP(C2,'Dealer Operations'!B:B,'Dealer Operations'!C:C,"Not Found")</calculatedColumnFormula>
    </tableColumn>
    <tableColumn id="29" xr3:uid="{4B20A5BA-6D15-42A2-9DCD-E019C360361B}" name="Area Manager" dataDxfId="25">
      <calculatedColumnFormula>_xlfn.XLOOKUP(C3,'Dealer Operations'!B:B,'Dealer Operations'!D:D,"Not Found")</calculatedColumnFormula>
    </tableColumn>
    <tableColumn id="28" xr3:uid="{00000000-0010-0000-0100-00001C000000}" name="RO Open Date" dataDxfId="24">
      <calculatedColumnFormula>_xlfn.XLOOKUP(A2,'Dealer Operations'!A:A,'Dealer Operations'!E:E,"Not Found")</calculatedColumnFormula>
    </tableColumn>
    <tableColumn id="4" xr3:uid="{00000000-0010-0000-0100-000004000000}" name="Days Down"/>
    <tableColumn id="5" xr3:uid="{00000000-0010-0000-0100-000005000000}" name="Repeat Repairs"/>
    <tableColumn id="6" xr3:uid="{00000000-0010-0000-0100-000006000000}" name="Mobility Status"/>
    <tableColumn id="7" xr3:uid="{00000000-0010-0000-0100-000007000000}" name="Dealer NPS">
      <calculatedColumnFormula>_xlfn.XLOOKUP(C2,'Dealer Operations'!B:B,'Dealer Operations'!I:I,"Not Found")</calculatedColumnFormula>
    </tableColumn>
    <tableColumn id="8" xr3:uid="{00000000-0010-0000-0100-000008000000}" name="Dealer Repeat Repair %">
      <calculatedColumnFormula>_xlfn.XLOOKUP(C2,'Dealer Operations'!B:B,'Dealer Operations'!J:J,"Not Found")</calculatedColumnFormula>
    </tableColumn>
    <tableColumn id="9" xr3:uid="{00000000-0010-0000-0100-000009000000}" name="Dealer Training Completion %">
      <calculatedColumnFormula>_xlfn.XLOOKUP(C2,'Dealer Operations'!B:B,'Dealer Operations'!K:K,"Not Found")</calculatedColumnFormula>
    </tableColumn>
    <tableColumn id="10" xr3:uid="{00000000-0010-0000-0100-00000A000000}" name="Agent Transfers"/>
    <tableColumn id="11" xr3:uid="{00000000-0010-0000-0100-00000B000000}" name="Missed Callbacks"/>
    <tableColumn id="12" xr3:uid="{00000000-0010-0000-0100-00000C000000}" name="CAC Contacts"/>
    <tableColumn id="13" xr3:uid="{00000000-0010-0000-0100-00000D000000}" name="Case Reopens"/>
    <tableColumn id="14" xr3:uid="{00000000-0010-0000-0100-00000E000000}" name="Mobility Multiplier"/>
    <tableColumn id="15" xr3:uid="{00000000-0010-0000-0100-00000F000000}" name="Repeat Repair Multiplier"/>
    <tableColumn id="16" xr3:uid="{00000000-0010-0000-0100-000010000000}" name="Missed Callback Multiplier"/>
    <tableColumn id="17" xr3:uid="{00000000-0010-0000-0100-000011000000}" name="Agent Transfer Multiplier"/>
    <tableColumn id="18" xr3:uid="{00000000-0010-0000-0100-000012000000}" name="Dealer NPS Multiplier"/>
    <tableColumn id="19" xr3:uid="{00000000-0010-0000-0100-000013000000}" name="Dealer RR Multiplier">
      <calculatedColumnFormula>IF(K2&lt;=5,1,IF(K2&lt;=10,1.1,IF(K2&lt;=15,1.3,1.5)))</calculatedColumnFormula>
    </tableColumn>
    <tableColumn id="20" xr3:uid="{00000000-0010-0000-0100-000014000000}" name="Training Multiplier"/>
    <tableColumn id="21" xr3:uid="{00000000-0010-0000-0100-000015000000}" name="Time Decay"/>
    <tableColumn id="22" xr3:uid="{00000000-0010-0000-0100-000016000000}" name="Idiosyncratic Risk">
      <calculatedColumnFormula>((0.35*Q2)+(0.65*R2))*((0.6*S2)+(0.4*T2))</calculatedColumnFormula>
    </tableColumn>
    <tableColumn id="23" xr3:uid="{00000000-0010-0000-0100-000017000000}" name="Systemic Risk" dataDxfId="23">
      <calculatedColumnFormula>(0.35*U2)+(0.45*V2)+(0.2*W2)</calculatedColumnFormula>
    </tableColumn>
    <tableColumn id="24" xr3:uid="{00000000-0010-0000-0100-000018000000}" name="Total Risk Score"/>
    <tableColumn id="25" xr3:uid="{00000000-0010-0000-0100-000019000000}" name="Capped Risk Score"/>
    <tableColumn id="26" xr3:uid="{00000000-0010-0000-0100-00001A000000}" name="Risk Band" dataDxfId="22">
      <calculatedColumnFormula>IF(AB2&lt;3,"Low operational exposure",IF(AB2&lt;6,"Moderate friction",IF(AB2&lt;10,"High escalation risk",IF(AB2&lt;12,"Severe exposure","Critical / Executive intervention"))))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EO_Escalation_Table" displayName="CEO_Escalation_Table" ref="A1:B21">
  <autoFilter ref="A1:B21" xr:uid="{00000000-0009-0000-0100-000001000000}"/>
  <tableColumns count="2">
    <tableColumn id="1" xr3:uid="{00000000-0010-0000-0000-000001000000}" name="VIN"/>
    <tableColumn id="2" xr3:uid="{00000000-0010-0000-0000-000002000000}" name="CEO Escalated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aler_Operations_Table" displayName="Dealer_Operations_Table" ref="A1:K101" headerRowDxfId="20" dataDxfId="19" totalsRowDxfId="18">
  <autoFilter ref="A1:K101" xr:uid="{00000000-0009-0000-0100-000003000000}"/>
  <sortState xmlns:xlrd2="http://schemas.microsoft.com/office/spreadsheetml/2017/richdata2" ref="A2:K101">
    <sortCondition ref="C1:C101"/>
  </sortState>
  <tableColumns count="11">
    <tableColumn id="1" xr3:uid="{00000000-0010-0000-0200-000001000000}" name="VIN" dataDxfId="17"/>
    <tableColumn id="2" xr3:uid="{00000000-0010-0000-0200-000002000000}" name="Dealer Code" dataDxfId="16"/>
    <tableColumn id="9" xr3:uid="{00000000-0010-0000-0200-000009000000}" name="Dealer Name" dataDxfId="15"/>
    <tableColumn id="11" xr3:uid="{12EBA84D-3474-40B4-90B4-346B280AFFA4}" name="Area Manager" dataDxfId="14"/>
    <tableColumn id="10" xr3:uid="{00000000-0010-0000-0200-00000A000000}" name="RO Open Date" dataDxfId="13">
      <calculatedColumnFormula>$B$103-Dealer_Operations_Table[[#This Row],[Days Down]]</calculatedColumnFormula>
    </tableColumn>
    <tableColumn id="3" xr3:uid="{00000000-0010-0000-0200-000003000000}" name="Days Down" dataDxfId="12"/>
    <tableColumn id="4" xr3:uid="{00000000-0010-0000-0200-000004000000}" name="Repeat Repairs" dataDxfId="11"/>
    <tableColumn id="5" xr3:uid="{00000000-0010-0000-0200-000005000000}" name="Mobility Status" dataDxfId="10"/>
    <tableColumn id="6" xr3:uid="{00000000-0010-0000-0200-000006000000}" name="Dealer NPS" dataDxfId="9"/>
    <tableColumn id="7" xr3:uid="{00000000-0010-0000-0200-000007000000}" name="Dealer Repeat Repair %" dataDxfId="8"/>
    <tableColumn id="8" xr3:uid="{00000000-0010-0000-0200-000008000000}" name="Dealer Training Completion %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ll_Center_Table" displayName="Call_Center_Table" ref="A1:E101">
  <autoFilter ref="A1:E101" xr:uid="{00000000-0009-0000-0100-000004000000}"/>
  <tableColumns count="5">
    <tableColumn id="1" xr3:uid="{00000000-0010-0000-0300-000001000000}" name="VIN"/>
    <tableColumn id="2" xr3:uid="{00000000-0010-0000-0300-000002000000}" name="Agent Transfers" dataDxfId="6"/>
    <tableColumn id="3" xr3:uid="{00000000-0010-0000-0300-000003000000}" name="Missed Callbacks" dataDxfId="5"/>
    <tableColumn id="4" xr3:uid="{00000000-0010-0000-0300-000004000000}" name="Inbound Calls" dataDxfId="4"/>
    <tableColumn id="5" xr3:uid="{00000000-0010-0000-0300-000005000000}" name="Case Reopens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gression_Table" displayName="Regression_Table" ref="A1:C14">
  <autoFilter ref="A1:C14" xr:uid="{00000000-0009-0000-0100-000005000000}"/>
  <tableColumns count="3">
    <tableColumn id="1" xr3:uid="{00000000-0010-0000-0400-000001000000}" name="Variable"/>
    <tableColumn id="2" xr3:uid="{00000000-0010-0000-0400-000002000000}" name="Coefficient"/>
    <tableColumn id="3" xr3:uid="{00000000-0010-0000-0400-000003000000}" name="Likelihood Factor (Odds Ratio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isk_Bands_Table" displayName="Risk_Bands_Table" ref="A1:B6">
  <autoFilter ref="A1:B6" xr:uid="{00000000-0009-0000-0100-000006000000}"/>
  <tableColumns count="2">
    <tableColumn id="1" xr3:uid="{00000000-0010-0000-0500-000001000000}" name="Risk Score Range"/>
    <tableColumn id="2" xr3:uid="{00000000-0010-0000-0500-000002000000}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9CEB-63FF-4CAD-8C4F-05606F55876F}">
  <sheetPr>
    <tabColor rgb="FFC00000"/>
  </sheetPr>
  <dimension ref="A2:B11"/>
  <sheetViews>
    <sheetView workbookViewId="0">
      <selection activeCell="B6" sqref="B6"/>
    </sheetView>
  </sheetViews>
  <sheetFormatPr defaultRowHeight="14.5" x14ac:dyDescent="0.35"/>
  <cols>
    <col min="1" max="1" width="12.36328125" bestFit="1" customWidth="1"/>
    <col min="2" max="2" width="165.6328125" customWidth="1"/>
  </cols>
  <sheetData>
    <row r="2" spans="1:2" ht="43.5" x14ac:dyDescent="0.35">
      <c r="A2" s="68" t="s">
        <v>236</v>
      </c>
      <c r="B2" s="30" t="s">
        <v>238</v>
      </c>
    </row>
    <row r="3" spans="1:2" ht="29" x14ac:dyDescent="0.35">
      <c r="A3" s="68"/>
      <c r="B3" s="29" t="s">
        <v>237</v>
      </c>
    </row>
    <row r="4" spans="1:2" x14ac:dyDescent="0.35">
      <c r="A4" s="68"/>
      <c r="B4" s="30" t="s">
        <v>248</v>
      </c>
    </row>
    <row r="6" spans="1:2" x14ac:dyDescent="0.35">
      <c r="A6" s="36" t="s">
        <v>239</v>
      </c>
    </row>
    <row r="7" spans="1:2" x14ac:dyDescent="0.35">
      <c r="A7" s="37" t="s">
        <v>241</v>
      </c>
      <c r="B7" t="s">
        <v>245</v>
      </c>
    </row>
    <row r="8" spans="1:2" x14ac:dyDescent="0.35">
      <c r="A8" s="38" t="s">
        <v>240</v>
      </c>
      <c r="B8" t="s">
        <v>246</v>
      </c>
    </row>
    <row r="9" spans="1:2" x14ac:dyDescent="0.35">
      <c r="A9" s="39" t="s">
        <v>242</v>
      </c>
      <c r="B9" t="s">
        <v>247</v>
      </c>
    </row>
    <row r="10" spans="1:2" x14ac:dyDescent="0.35">
      <c r="A10" s="40" t="s">
        <v>243</v>
      </c>
      <c r="B10" t="s">
        <v>252</v>
      </c>
    </row>
    <row r="11" spans="1:2" x14ac:dyDescent="0.35">
      <c r="A11" s="41" t="s">
        <v>244</v>
      </c>
      <c r="B11" t="s">
        <v>251</v>
      </c>
    </row>
  </sheetData>
  <mergeCells count="1">
    <mergeCell ref="A2: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C90"/>
  <sheetViews>
    <sheetView showGridLines="0" tabSelected="1" workbookViewId="0">
      <selection activeCell="B14" sqref="B14"/>
    </sheetView>
  </sheetViews>
  <sheetFormatPr defaultRowHeight="14.5" x14ac:dyDescent="0.35"/>
  <cols>
    <col min="1" max="1" width="23.08984375" style="36" bestFit="1" customWidth="1"/>
    <col min="2" max="2" width="130.6328125" style="29" customWidth="1"/>
    <col min="3" max="3" width="15.6328125" customWidth="1"/>
  </cols>
  <sheetData>
    <row r="1" spans="1:3" x14ac:dyDescent="0.35">
      <c r="A1" s="45" t="s">
        <v>131</v>
      </c>
    </row>
    <row r="3" spans="1:3" x14ac:dyDescent="0.35">
      <c r="A3" s="35" t="s">
        <v>132</v>
      </c>
      <c r="B3" s="30" t="s">
        <v>224</v>
      </c>
    </row>
    <row r="4" spans="1:3" x14ac:dyDescent="0.35">
      <c r="A4" s="46"/>
    </row>
    <row r="5" spans="1:3" x14ac:dyDescent="0.35">
      <c r="A5" s="35" t="s">
        <v>133</v>
      </c>
      <c r="B5" s="30" t="s">
        <v>226</v>
      </c>
    </row>
    <row r="7" spans="1:3" ht="29" x14ac:dyDescent="0.35">
      <c r="A7" s="68" t="s">
        <v>225</v>
      </c>
      <c r="B7" s="30" t="s">
        <v>227</v>
      </c>
      <c r="C7" s="18"/>
    </row>
    <row r="8" spans="1:3" ht="29" x14ac:dyDescent="0.35">
      <c r="A8" s="68"/>
      <c r="B8" s="29" t="s">
        <v>250</v>
      </c>
      <c r="C8" s="18"/>
    </row>
    <row r="9" spans="1:3" ht="29" x14ac:dyDescent="0.35">
      <c r="A9" s="68"/>
      <c r="B9" s="30" t="s">
        <v>228</v>
      </c>
      <c r="C9" s="19"/>
    </row>
    <row r="10" spans="1:3" x14ac:dyDescent="0.35">
      <c r="C10" s="18"/>
    </row>
    <row r="11" spans="1:3" x14ac:dyDescent="0.35">
      <c r="A11" s="47" t="s">
        <v>229</v>
      </c>
      <c r="B11" s="31"/>
      <c r="C11" s="18"/>
    </row>
    <row r="12" spans="1:3" x14ac:dyDescent="0.35">
      <c r="A12" s="48" t="s">
        <v>23</v>
      </c>
      <c r="B12" s="42" t="s">
        <v>134</v>
      </c>
      <c r="C12" s="18"/>
    </row>
    <row r="13" spans="1:3" x14ac:dyDescent="0.35">
      <c r="A13" s="48" t="s">
        <v>24</v>
      </c>
      <c r="B13" s="32" t="s">
        <v>287</v>
      </c>
      <c r="C13" s="18"/>
    </row>
    <row r="14" spans="1:3" ht="29" x14ac:dyDescent="0.35">
      <c r="A14" s="48" t="s">
        <v>135</v>
      </c>
      <c r="B14" s="43" t="s">
        <v>136</v>
      </c>
    </row>
    <row r="15" spans="1:3" x14ac:dyDescent="0.35">
      <c r="A15" s="49" t="s">
        <v>137</v>
      </c>
      <c r="B15" s="33" t="s">
        <v>253</v>
      </c>
    </row>
    <row r="17" spans="1:2" ht="29" x14ac:dyDescent="0.35">
      <c r="A17" s="68" t="s">
        <v>230</v>
      </c>
      <c r="B17" s="30" t="s">
        <v>231</v>
      </c>
    </row>
    <row r="18" spans="1:2" ht="29" x14ac:dyDescent="0.35">
      <c r="A18" s="68"/>
      <c r="B18" s="29" t="s">
        <v>232</v>
      </c>
    </row>
    <row r="19" spans="1:2" ht="29" x14ac:dyDescent="0.35">
      <c r="A19" s="68"/>
      <c r="B19" s="30" t="s">
        <v>233</v>
      </c>
    </row>
    <row r="21" spans="1:2" x14ac:dyDescent="0.35">
      <c r="A21" s="44" t="s">
        <v>234</v>
      </c>
      <c r="B21" s="29" t="s">
        <v>139</v>
      </c>
    </row>
    <row r="22" spans="1:2" x14ac:dyDescent="0.35">
      <c r="B22" s="34"/>
    </row>
    <row r="23" spans="1:2" x14ac:dyDescent="0.35">
      <c r="A23" s="44" t="s">
        <v>235</v>
      </c>
      <c r="B23" s="29" t="s">
        <v>249</v>
      </c>
    </row>
    <row r="24" spans="1:2" x14ac:dyDescent="0.35">
      <c r="A24" s="19"/>
      <c r="B24" s="34"/>
    </row>
    <row r="25" spans="1:2" ht="29" x14ac:dyDescent="0.35">
      <c r="A25" s="44" t="s">
        <v>254</v>
      </c>
      <c r="B25" s="29" t="s">
        <v>255</v>
      </c>
    </row>
    <row r="28" spans="1:2" x14ac:dyDescent="0.35">
      <c r="A28" s="50"/>
    </row>
    <row r="48" spans="1:2" x14ac:dyDescent="0.35">
      <c r="A48"/>
      <c r="B48"/>
    </row>
    <row r="49" spans="1:2" x14ac:dyDescent="0.35">
      <c r="A49"/>
      <c r="B49"/>
    </row>
    <row r="50" spans="1:2" x14ac:dyDescent="0.35">
      <c r="A50"/>
      <c r="B50"/>
    </row>
    <row r="51" spans="1:2" x14ac:dyDescent="0.35">
      <c r="A51"/>
      <c r="B51"/>
    </row>
    <row r="52" spans="1:2" x14ac:dyDescent="0.35">
      <c r="A52"/>
      <c r="B52"/>
    </row>
    <row r="53" spans="1:2" x14ac:dyDescent="0.35">
      <c r="A53"/>
      <c r="B53"/>
    </row>
    <row r="54" spans="1:2" x14ac:dyDescent="0.35">
      <c r="A54"/>
      <c r="B54"/>
    </row>
    <row r="57" spans="1:2" x14ac:dyDescent="0.35">
      <c r="A57" s="61"/>
    </row>
    <row r="79" spans="1:2" x14ac:dyDescent="0.35">
      <c r="A79"/>
      <c r="B79"/>
    </row>
    <row r="80" spans="1:2" x14ac:dyDescent="0.35">
      <c r="A80"/>
      <c r="B80"/>
    </row>
    <row r="81" spans="1:2" x14ac:dyDescent="0.35">
      <c r="A81"/>
      <c r="B81"/>
    </row>
    <row r="82" spans="1:2" x14ac:dyDescent="0.35">
      <c r="A82"/>
      <c r="B82"/>
    </row>
    <row r="83" spans="1:2" x14ac:dyDescent="0.35">
      <c r="A83"/>
      <c r="B83"/>
    </row>
    <row r="84" spans="1:2" x14ac:dyDescent="0.35">
      <c r="A84"/>
      <c r="B84"/>
    </row>
    <row r="85" spans="1:2" x14ac:dyDescent="0.35">
      <c r="A85"/>
      <c r="B85"/>
    </row>
    <row r="86" spans="1:2" x14ac:dyDescent="0.35">
      <c r="A86"/>
      <c r="B86"/>
    </row>
    <row r="87" spans="1:2" x14ac:dyDescent="0.35">
      <c r="A87"/>
      <c r="B87"/>
    </row>
    <row r="88" spans="1:2" x14ac:dyDescent="0.35">
      <c r="A88"/>
      <c r="B88"/>
    </row>
    <row r="89" spans="1:2" x14ac:dyDescent="0.35">
      <c r="A89"/>
      <c r="B89"/>
    </row>
    <row r="90" spans="1:2" x14ac:dyDescent="0.35">
      <c r="A90"/>
      <c r="B90"/>
    </row>
  </sheetData>
  <mergeCells count="2">
    <mergeCell ref="A17:A19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06597-6596-4539-86AE-4131579DDEC0}">
  <sheetPr>
    <tabColor rgb="FFC00000"/>
  </sheetPr>
  <dimension ref="A1:H76"/>
  <sheetViews>
    <sheetView workbookViewId="0">
      <selection activeCell="E45" sqref="E45"/>
    </sheetView>
  </sheetViews>
  <sheetFormatPr defaultRowHeight="14.5" x14ac:dyDescent="0.35"/>
  <cols>
    <col min="1" max="1" width="23.54296875" customWidth="1"/>
    <col min="2" max="3" width="40.6328125" customWidth="1"/>
    <col min="4" max="8" width="8.6328125" customWidth="1"/>
  </cols>
  <sheetData>
    <row r="1" spans="1:2" x14ac:dyDescent="0.35">
      <c r="A1" s="50" t="s">
        <v>269</v>
      </c>
      <c r="B1" s="29"/>
    </row>
    <row r="2" spans="1:2" x14ac:dyDescent="0.35">
      <c r="A2" s="36"/>
      <c r="B2" s="29"/>
    </row>
    <row r="3" spans="1:2" x14ac:dyDescent="0.35">
      <c r="A3" s="36"/>
      <c r="B3" s="29"/>
    </row>
    <row r="4" spans="1:2" x14ac:dyDescent="0.35">
      <c r="A4" s="36"/>
      <c r="B4" s="29"/>
    </row>
    <row r="5" spans="1:2" x14ac:dyDescent="0.35">
      <c r="A5" s="36"/>
      <c r="B5" s="29"/>
    </row>
    <row r="6" spans="1:2" x14ac:dyDescent="0.35">
      <c r="A6" s="36"/>
      <c r="B6" s="29"/>
    </row>
    <row r="7" spans="1:2" x14ac:dyDescent="0.35">
      <c r="A7" s="36"/>
      <c r="B7" s="29"/>
    </row>
    <row r="8" spans="1:2" x14ac:dyDescent="0.35">
      <c r="A8" s="36"/>
      <c r="B8" s="29"/>
    </row>
    <row r="9" spans="1:2" x14ac:dyDescent="0.35">
      <c r="A9" s="36"/>
      <c r="B9" s="29"/>
    </row>
    <row r="10" spans="1:2" x14ac:dyDescent="0.35">
      <c r="A10" s="36"/>
      <c r="B10" s="29"/>
    </row>
    <row r="11" spans="1:2" x14ac:dyDescent="0.35">
      <c r="A11" s="36"/>
      <c r="B11" s="29"/>
    </row>
    <row r="12" spans="1:2" x14ac:dyDescent="0.35">
      <c r="A12" s="36"/>
      <c r="B12" s="29"/>
    </row>
    <row r="13" spans="1:2" x14ac:dyDescent="0.35">
      <c r="A13" s="36"/>
      <c r="B13" s="29"/>
    </row>
    <row r="14" spans="1:2" x14ac:dyDescent="0.35">
      <c r="A14" s="36"/>
      <c r="B14" s="29"/>
    </row>
    <row r="15" spans="1:2" x14ac:dyDescent="0.35">
      <c r="A15" s="36"/>
      <c r="B15" s="29"/>
    </row>
    <row r="16" spans="1:2" x14ac:dyDescent="0.35">
      <c r="A16" s="36"/>
      <c r="B16" s="29"/>
    </row>
    <row r="17" spans="1:3" x14ac:dyDescent="0.35">
      <c r="A17" s="36"/>
      <c r="B17" s="29"/>
    </row>
    <row r="18" spans="1:3" x14ac:dyDescent="0.35">
      <c r="A18" s="36"/>
      <c r="B18" s="29"/>
    </row>
    <row r="19" spans="1:3" x14ac:dyDescent="0.35">
      <c r="A19" s="36"/>
      <c r="B19" s="29"/>
    </row>
    <row r="20" spans="1:3" x14ac:dyDescent="0.35">
      <c r="A20" s="36"/>
      <c r="B20" s="29"/>
    </row>
    <row r="21" spans="1:3" x14ac:dyDescent="0.35">
      <c r="A21" s="56" t="s">
        <v>22</v>
      </c>
      <c r="B21" s="57" t="s">
        <v>270</v>
      </c>
      <c r="C21" s="57" t="s">
        <v>256</v>
      </c>
    </row>
    <row r="22" spans="1:3" x14ac:dyDescent="0.35">
      <c r="A22" s="51" t="s">
        <v>5</v>
      </c>
      <c r="B22" s="51" t="s">
        <v>257</v>
      </c>
      <c r="C22" s="51" t="s">
        <v>155</v>
      </c>
    </row>
    <row r="23" spans="1:3" x14ac:dyDescent="0.35">
      <c r="A23" s="52" t="s">
        <v>186</v>
      </c>
      <c r="B23" s="52" t="s">
        <v>258</v>
      </c>
      <c r="C23" s="53">
        <v>1</v>
      </c>
    </row>
    <row r="24" spans="1:3" x14ac:dyDescent="0.35">
      <c r="A24" s="54" t="s">
        <v>187</v>
      </c>
      <c r="B24" s="52" t="s">
        <v>259</v>
      </c>
      <c r="C24" s="53">
        <v>1.1000000000000001</v>
      </c>
    </row>
    <row r="25" spans="1:3" x14ac:dyDescent="0.35">
      <c r="A25" s="52" t="s">
        <v>188</v>
      </c>
      <c r="B25" s="52" t="s">
        <v>260</v>
      </c>
      <c r="C25" s="53">
        <v>1.25</v>
      </c>
    </row>
    <row r="26" spans="1:3" x14ac:dyDescent="0.35">
      <c r="A26" s="55" t="s">
        <v>189</v>
      </c>
      <c r="B26" s="52" t="s">
        <v>261</v>
      </c>
      <c r="C26" s="53">
        <v>1.5</v>
      </c>
    </row>
    <row r="27" spans="1:3" x14ac:dyDescent="0.35">
      <c r="A27" s="52" t="s">
        <v>190</v>
      </c>
      <c r="B27" s="52" t="s">
        <v>262</v>
      </c>
      <c r="C27" s="53">
        <v>2</v>
      </c>
    </row>
    <row r="28" spans="1:3" x14ac:dyDescent="0.35">
      <c r="A28" s="36"/>
      <c r="B28" s="29"/>
    </row>
    <row r="29" spans="1:3" x14ac:dyDescent="0.35">
      <c r="A29" s="36"/>
      <c r="B29" s="29"/>
    </row>
    <row r="30" spans="1:3" x14ac:dyDescent="0.35">
      <c r="A30" s="61" t="s">
        <v>271</v>
      </c>
      <c r="B30" s="29"/>
    </row>
    <row r="31" spans="1:3" x14ac:dyDescent="0.35">
      <c r="A31" s="36"/>
      <c r="B31" s="29"/>
    </row>
    <row r="32" spans="1:3" x14ac:dyDescent="0.35">
      <c r="A32" s="36"/>
      <c r="B32" s="29"/>
    </row>
    <row r="33" spans="1:2" x14ac:dyDescent="0.35">
      <c r="A33" s="36"/>
      <c r="B33" s="29"/>
    </row>
    <row r="34" spans="1:2" x14ac:dyDescent="0.35">
      <c r="A34" s="36"/>
      <c r="B34" s="29"/>
    </row>
    <row r="35" spans="1:2" x14ac:dyDescent="0.35">
      <c r="A35" s="36"/>
      <c r="B35" s="29"/>
    </row>
    <row r="36" spans="1:2" x14ac:dyDescent="0.35">
      <c r="A36" s="36"/>
      <c r="B36" s="29"/>
    </row>
    <row r="37" spans="1:2" x14ac:dyDescent="0.35">
      <c r="A37" s="36"/>
      <c r="B37" s="29"/>
    </row>
    <row r="38" spans="1:2" x14ac:dyDescent="0.35">
      <c r="A38" s="36"/>
      <c r="B38" s="29"/>
    </row>
    <row r="39" spans="1:2" x14ac:dyDescent="0.35">
      <c r="A39" s="36"/>
      <c r="B39" s="29"/>
    </row>
    <row r="40" spans="1:2" x14ac:dyDescent="0.35">
      <c r="A40" s="36"/>
      <c r="B40" s="29"/>
    </row>
    <row r="41" spans="1:2" x14ac:dyDescent="0.35">
      <c r="A41" s="36"/>
      <c r="B41" s="29"/>
    </row>
    <row r="42" spans="1:2" x14ac:dyDescent="0.35">
      <c r="A42" s="36"/>
      <c r="B42" s="29"/>
    </row>
    <row r="43" spans="1:2" x14ac:dyDescent="0.35">
      <c r="A43" s="36"/>
      <c r="B43" s="29"/>
    </row>
    <row r="44" spans="1:2" x14ac:dyDescent="0.35">
      <c r="A44" s="36"/>
      <c r="B44" s="29"/>
    </row>
    <row r="45" spans="1:2" x14ac:dyDescent="0.35">
      <c r="A45" s="36"/>
      <c r="B45" s="29"/>
    </row>
    <row r="46" spans="1:2" x14ac:dyDescent="0.35">
      <c r="A46" s="36"/>
      <c r="B46" s="29"/>
    </row>
    <row r="47" spans="1:2" x14ac:dyDescent="0.35">
      <c r="A47" s="36"/>
      <c r="B47" s="29"/>
    </row>
    <row r="48" spans="1:2" x14ac:dyDescent="0.35">
      <c r="A48" s="36"/>
      <c r="B48" s="29"/>
    </row>
    <row r="49" spans="1:8" x14ac:dyDescent="0.35">
      <c r="A49" s="36"/>
      <c r="B49" s="29"/>
    </row>
    <row r="50" spans="1:8" x14ac:dyDescent="0.35">
      <c r="A50" s="36"/>
      <c r="B50" s="29"/>
    </row>
    <row r="51" spans="1:8" x14ac:dyDescent="0.35">
      <c r="A51" s="36"/>
      <c r="B51" s="29"/>
    </row>
    <row r="52" spans="1:8" x14ac:dyDescent="0.35">
      <c r="A52" s="60" t="s">
        <v>268</v>
      </c>
      <c r="B52" s="60" t="s">
        <v>263</v>
      </c>
      <c r="C52" s="60" t="s">
        <v>256</v>
      </c>
      <c r="D52" s="69" t="s">
        <v>264</v>
      </c>
      <c r="E52" s="70"/>
      <c r="F52" s="70"/>
      <c r="G52" s="70"/>
      <c r="H52" s="70"/>
    </row>
    <row r="53" spans="1:8" x14ac:dyDescent="0.35">
      <c r="A53" s="51" t="s">
        <v>156</v>
      </c>
      <c r="B53" s="51" t="s">
        <v>257</v>
      </c>
      <c r="C53" s="51" t="s">
        <v>272</v>
      </c>
      <c r="D53" s="58" t="s">
        <v>186</v>
      </c>
      <c r="E53" s="58" t="s">
        <v>187</v>
      </c>
      <c r="F53" s="58" t="s">
        <v>188</v>
      </c>
      <c r="G53" s="58" t="s">
        <v>189</v>
      </c>
      <c r="H53" s="58" t="s">
        <v>190</v>
      </c>
    </row>
    <row r="54" spans="1:8" x14ac:dyDescent="0.35">
      <c r="A54" s="52" t="s">
        <v>158</v>
      </c>
      <c r="B54" s="52" t="s">
        <v>258</v>
      </c>
      <c r="C54" s="53">
        <v>1</v>
      </c>
      <c r="D54" s="59">
        <f>C54*$C$23</f>
        <v>1</v>
      </c>
      <c r="E54" s="62">
        <f>C54*$C$24</f>
        <v>1.1000000000000001</v>
      </c>
      <c r="F54" s="62">
        <f>C54*$C$25</f>
        <v>1.25</v>
      </c>
      <c r="G54" s="62">
        <f>C54*$C$26</f>
        <v>1.5</v>
      </c>
      <c r="H54" s="62">
        <f>D54*$C$27</f>
        <v>2</v>
      </c>
    </row>
    <row r="55" spans="1:8" x14ac:dyDescent="0.35">
      <c r="A55" s="52">
        <v>2</v>
      </c>
      <c r="B55" s="52" t="s">
        <v>265</v>
      </c>
      <c r="C55" s="53">
        <v>1.1499999999999999</v>
      </c>
      <c r="D55" s="59">
        <f t="shared" ref="D55:D57" si="0">C55*$C$23</f>
        <v>1.1499999999999999</v>
      </c>
      <c r="E55" s="62">
        <f t="shared" ref="E55:E57" si="1">C55*$C$24</f>
        <v>1.2649999999999999</v>
      </c>
      <c r="F55" s="62">
        <f t="shared" ref="F55:F57" si="2">C55*$C$25</f>
        <v>1.4375</v>
      </c>
      <c r="G55" s="62">
        <f t="shared" ref="G55:G57" si="3">C55*$C$26</f>
        <v>1.7249999999999999</v>
      </c>
      <c r="H55" s="62">
        <f t="shared" ref="H55:H57" si="4">D55*$C$27</f>
        <v>2.2999999999999998</v>
      </c>
    </row>
    <row r="56" spans="1:8" ht="29" x14ac:dyDescent="0.35">
      <c r="A56" s="52">
        <v>3</v>
      </c>
      <c r="B56" s="52" t="s">
        <v>266</v>
      </c>
      <c r="C56" s="53">
        <v>1.3</v>
      </c>
      <c r="D56" s="59">
        <f t="shared" si="0"/>
        <v>1.3</v>
      </c>
      <c r="E56" s="62">
        <f t="shared" si="1"/>
        <v>1.4300000000000002</v>
      </c>
      <c r="F56" s="62">
        <f t="shared" si="2"/>
        <v>1.625</v>
      </c>
      <c r="G56" s="62">
        <f t="shared" si="3"/>
        <v>1.9500000000000002</v>
      </c>
      <c r="H56" s="62">
        <f t="shared" si="4"/>
        <v>2.6</v>
      </c>
    </row>
    <row r="57" spans="1:8" x14ac:dyDescent="0.35">
      <c r="A57" s="52">
        <v>4</v>
      </c>
      <c r="B57" s="52" t="s">
        <v>267</v>
      </c>
      <c r="C57" s="53">
        <v>1.45</v>
      </c>
      <c r="D57" s="59">
        <f t="shared" si="0"/>
        <v>1.45</v>
      </c>
      <c r="E57" s="62">
        <f t="shared" si="1"/>
        <v>1.595</v>
      </c>
      <c r="F57" s="62">
        <f t="shared" si="2"/>
        <v>1.8125</v>
      </c>
      <c r="G57" s="62">
        <f t="shared" si="3"/>
        <v>2.1749999999999998</v>
      </c>
      <c r="H57" s="62">
        <f t="shared" si="4"/>
        <v>2.9</v>
      </c>
    </row>
    <row r="59" spans="1:8" x14ac:dyDescent="0.35">
      <c r="A59" s="67" t="s">
        <v>273</v>
      </c>
    </row>
    <row r="65" spans="1:4" x14ac:dyDescent="0.35">
      <c r="A65" s="65" t="s">
        <v>281</v>
      </c>
      <c r="B65" s="65"/>
      <c r="C65" s="65" t="s">
        <v>155</v>
      </c>
      <c r="D65" s="66" t="s">
        <v>274</v>
      </c>
    </row>
    <row r="66" spans="1:4" x14ac:dyDescent="0.35">
      <c r="A66" s="64" t="s">
        <v>282</v>
      </c>
      <c r="B66" s="64"/>
      <c r="C66" s="64">
        <v>1.6</v>
      </c>
      <c r="D66" s="63">
        <v>1.6</v>
      </c>
    </row>
    <row r="67" spans="1:4" x14ac:dyDescent="0.35">
      <c r="A67" s="64" t="s">
        <v>156</v>
      </c>
      <c r="B67" s="64"/>
      <c r="C67" s="64">
        <v>1.3</v>
      </c>
      <c r="D67" s="63">
        <v>1.3</v>
      </c>
    </row>
    <row r="68" spans="1:4" x14ac:dyDescent="0.35">
      <c r="A68" s="64" t="s">
        <v>12</v>
      </c>
      <c r="B68" s="64"/>
      <c r="C68" s="64">
        <v>1.75</v>
      </c>
      <c r="D68" s="63">
        <v>1.75</v>
      </c>
    </row>
    <row r="69" spans="1:4" x14ac:dyDescent="0.35">
      <c r="A69" s="64" t="s">
        <v>283</v>
      </c>
      <c r="B69" s="64"/>
      <c r="C69" s="64">
        <v>3.25</v>
      </c>
      <c r="D69" s="63">
        <v>3.25</v>
      </c>
    </row>
    <row r="70" spans="1:4" ht="29" x14ac:dyDescent="0.35">
      <c r="A70" s="64" t="s">
        <v>23</v>
      </c>
      <c r="B70" s="64"/>
      <c r="C70" s="64" t="s">
        <v>275</v>
      </c>
      <c r="D70" s="63">
        <v>3.3</v>
      </c>
    </row>
    <row r="71" spans="1:4" x14ac:dyDescent="0.35">
      <c r="A71" s="64" t="s">
        <v>19</v>
      </c>
      <c r="B71" s="64"/>
      <c r="C71" s="64">
        <v>1.25</v>
      </c>
      <c r="D71" s="63">
        <v>1.25</v>
      </c>
    </row>
    <row r="72" spans="1:4" x14ac:dyDescent="0.35">
      <c r="A72" s="64" t="s">
        <v>20</v>
      </c>
      <c r="B72" s="64"/>
      <c r="C72" s="64">
        <v>1.1000000000000001</v>
      </c>
      <c r="D72" s="63">
        <v>1.1000000000000001</v>
      </c>
    </row>
    <row r="73" spans="1:4" x14ac:dyDescent="0.35">
      <c r="A73" s="64" t="s">
        <v>21</v>
      </c>
      <c r="B73" s="64"/>
      <c r="C73" s="64">
        <v>1.3</v>
      </c>
      <c r="D73" s="63">
        <v>1.3</v>
      </c>
    </row>
    <row r="74" spans="1:4" x14ac:dyDescent="0.35">
      <c r="A74" s="64" t="s">
        <v>24</v>
      </c>
      <c r="B74" s="64"/>
      <c r="C74" s="64" t="s">
        <v>276</v>
      </c>
      <c r="D74" s="63">
        <v>1.19</v>
      </c>
    </row>
    <row r="75" spans="1:4" x14ac:dyDescent="0.35">
      <c r="A75" s="64" t="s">
        <v>277</v>
      </c>
      <c r="B75" s="64"/>
      <c r="C75" s="64" t="s">
        <v>278</v>
      </c>
      <c r="D75" s="63">
        <v>2</v>
      </c>
    </row>
    <row r="76" spans="1:4" x14ac:dyDescent="0.35">
      <c r="A76" s="64" t="s">
        <v>279</v>
      </c>
      <c r="B76" s="64"/>
      <c r="C76" s="64" t="s">
        <v>280</v>
      </c>
      <c r="D76" s="63">
        <v>7.85</v>
      </c>
    </row>
  </sheetData>
  <mergeCells count="1">
    <mergeCell ref="D52:H5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C101"/>
  <sheetViews>
    <sheetView showGridLines="0" topLeftCell="T1" workbookViewId="0">
      <pane ySplit="1" topLeftCell="A2" activePane="bottomLeft" state="frozen"/>
      <selection pane="bottomLeft" activeCell="V2" sqref="V2:V101"/>
    </sheetView>
  </sheetViews>
  <sheetFormatPr defaultRowHeight="14.5" x14ac:dyDescent="0.35"/>
  <cols>
    <col min="1" max="1" width="20" customWidth="1"/>
    <col min="2" max="2" width="16" customWidth="1"/>
    <col min="3" max="3" width="13" style="25" customWidth="1"/>
    <col min="4" max="4" width="23.26953125" bestFit="1" customWidth="1"/>
    <col min="5" max="5" width="23.26953125" customWidth="1"/>
    <col min="6" max="6" width="13" style="27" customWidth="1"/>
    <col min="7" max="7" width="12" customWidth="1"/>
    <col min="8" max="8" width="17" customWidth="1"/>
    <col min="9" max="9" width="21" customWidth="1"/>
    <col min="10" max="10" width="13" customWidth="1"/>
    <col min="11" max="11" width="25" customWidth="1"/>
    <col min="12" max="12" width="31" customWidth="1"/>
    <col min="13" max="13" width="18" customWidth="1"/>
    <col min="14" max="14" width="19" customWidth="1"/>
    <col min="15" max="16" width="15" customWidth="1"/>
    <col min="17" max="17" width="22" customWidth="1"/>
    <col min="18" max="18" width="27" customWidth="1"/>
    <col min="19" max="19" width="29" customWidth="1"/>
    <col min="20" max="20" width="28" customWidth="1"/>
    <col min="21" max="21" width="24" customWidth="1"/>
    <col min="22" max="22" width="23" customWidth="1"/>
    <col min="23" max="23" width="22" customWidth="1"/>
    <col min="24" max="24" width="13" customWidth="1"/>
    <col min="25" max="28" width="21" customWidth="1"/>
    <col min="29" max="29" width="27" customWidth="1"/>
  </cols>
  <sheetData>
    <row r="1" spans="1:29" x14ac:dyDescent="0.35">
      <c r="A1" s="1" t="s">
        <v>0</v>
      </c>
      <c r="B1" s="1" t="s">
        <v>1</v>
      </c>
      <c r="C1" s="24" t="s">
        <v>2</v>
      </c>
      <c r="D1" s="17" t="s">
        <v>3</v>
      </c>
      <c r="E1" s="1" t="s">
        <v>284</v>
      </c>
      <c r="F1" s="2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</row>
    <row r="2" spans="1:29" x14ac:dyDescent="0.35">
      <c r="A2" s="2" t="s">
        <v>28</v>
      </c>
      <c r="B2" s="11">
        <v>1</v>
      </c>
      <c r="C2" s="11">
        <v>81773</v>
      </c>
      <c r="D2" s="11" t="str">
        <f>_xlfn.XLOOKUP(C2,'Dealer Operations'!B:B,'Dealer Operations'!C:C,"Not Found")</f>
        <v>Hyundai San Diego</v>
      </c>
      <c r="E2" s="11" t="str">
        <f>_xlfn.XLOOKUP(C3,'Dealer Operations'!B:B,'Dealer Operations'!D:D,"Not Found")</f>
        <v>Shohei Ohtani</v>
      </c>
      <c r="F2" s="26">
        <f>_xlfn.XLOOKUP(A2,'Dealer Operations'!A:A,'Dealer Operations'!E:E,"Not Found")</f>
        <v>46111</v>
      </c>
      <c r="G2" s="3">
        <v>44</v>
      </c>
      <c r="H2" s="3">
        <v>3</v>
      </c>
      <c r="I2" s="2" t="s">
        <v>29</v>
      </c>
      <c r="J2" s="3">
        <f>_xlfn.XLOOKUP(C2,'Dealer Operations'!B:B,'Dealer Operations'!I:I,"Not Found")</f>
        <v>68</v>
      </c>
      <c r="K2" s="4">
        <f>_xlfn.XLOOKUP(C2,'Dealer Operations'!B:B,'Dealer Operations'!J:J,"Not Found")</f>
        <v>9.3000000000000007</v>
      </c>
      <c r="L2" s="4">
        <f>_xlfn.XLOOKUP(C2,'Dealer Operations'!B:B,'Dealer Operations'!K:K,"Not Found")</f>
        <v>55</v>
      </c>
      <c r="M2" s="3">
        <v>8</v>
      </c>
      <c r="N2" s="3">
        <v>5</v>
      </c>
      <c r="O2" s="3">
        <v>5</v>
      </c>
      <c r="P2" s="3">
        <v>4</v>
      </c>
      <c r="Q2" s="6">
        <f t="shared" ref="Q2:Q33" si="0">IF(I2="Loaner Covered",0.85,IF(I2="External Rental",1.3,IF(I2="No Loaner Coverage",1.6,1)))</f>
        <v>1.6</v>
      </c>
      <c r="R2" s="6">
        <f t="shared" ref="R2:R33" si="1">IF(H2&lt;=1,1,IF(H2=2,1.15,IF(H2=3,1.3,1.45)))</f>
        <v>1.3</v>
      </c>
      <c r="S2" s="6">
        <f t="shared" ref="S2:S33" si="2">IF(N2=0,1,IF(N2=1,1.75,IF(N2=2,2.5,IF(N2=3,3.25,4))))</f>
        <v>4</v>
      </c>
      <c r="T2" s="6">
        <f t="shared" ref="T2:T33" si="3">IF(M2&lt;=1,1,IF(M2&lt;=3,1.75,IF(M2&lt;=5,2.5,IF(M2&lt;=7,3.25,3.75))))</f>
        <v>3.75</v>
      </c>
      <c r="U2" s="6">
        <f t="shared" ref="U2:U33" si="4">IF(J2&gt;=85,1,IF(J2&gt;=75,1.1,IF(J2&gt;=65,1.25,IF(J2&gt;=55,1.35,1.45))))</f>
        <v>1.25</v>
      </c>
      <c r="V2" s="6">
        <f>IF(K2&lt;=5,1,IF(K2&lt;=10,1.1,IF(K2&lt;=15,1.3,1.5)))</f>
        <v>1.1000000000000001</v>
      </c>
      <c r="W2" s="6">
        <f t="shared" ref="W2:W33" si="5">IF(L2&gt;=95,1,IF(L2&gt;=85,1.1,IF(L2&gt;=75,1.2,IF(L2&gt;=65,1.3,1.4))))</f>
        <v>1.4</v>
      </c>
      <c r="X2" s="6">
        <f t="shared" ref="X2:X33" si="6">IF(G2&lt;=7,1,IF(G2&lt;=14,1.1,IF(G2&lt;=21,1.25,IF(G2&lt;=29,1.5,2))))</f>
        <v>2</v>
      </c>
      <c r="Y2" s="6">
        <f t="shared" ref="Y2:Y33" si="7">((0.35*Q2)+(0.65*R2))*((0.6*S2)+(0.4*T2))</f>
        <v>5.4794999999999998</v>
      </c>
      <c r="Z2" s="6">
        <f t="shared" ref="Z2:Z33" si="8">(0.35*U2)+(0.45*V2)+(0.2*W2)</f>
        <v>1.2125000000000001</v>
      </c>
      <c r="AA2" s="6">
        <f t="shared" ref="AA2:AA33" si="9">Y2*Z2*X2</f>
        <v>13.2877875</v>
      </c>
      <c r="AB2" s="6">
        <f t="shared" ref="AB2:AB33" si="10">MIN(AA2,15)</f>
        <v>13.2877875</v>
      </c>
      <c r="AC2" s="7" t="str">
        <f t="shared" ref="AC2:AC33" si="11">IF(AB2&lt;3,"Low operational exposure",IF(AB2&lt;6,"Moderate friction",IF(AB2&lt;10,"High escalation risk",IF(AB2&lt;12,"Severe exposure","Critical / Executive intervention"))))</f>
        <v>Critical / Executive intervention</v>
      </c>
    </row>
    <row r="3" spans="1:29" x14ac:dyDescent="0.35">
      <c r="A3" s="2" t="s">
        <v>30</v>
      </c>
      <c r="B3" s="11">
        <v>1</v>
      </c>
      <c r="C3" s="11">
        <v>66520</v>
      </c>
      <c r="D3" s="11" t="str">
        <f>_xlfn.XLOOKUP(C3,'Dealer Operations'!B:B,'Dealer Operations'!C:C,"Not Found")</f>
        <v>Hyundai Santa Monica</v>
      </c>
      <c r="E3" s="11" t="str">
        <f>_xlfn.XLOOKUP(C4,'Dealer Operations'!B:B,'Dealer Operations'!D:D,"Not Found")</f>
        <v>Fred Mercury</v>
      </c>
      <c r="F3" s="26">
        <f>_xlfn.XLOOKUP(A3,'Dealer Operations'!A:A,'Dealer Operations'!E:E,"Not Found")</f>
        <v>46120</v>
      </c>
      <c r="G3" s="3">
        <v>35</v>
      </c>
      <c r="H3" s="3">
        <v>3</v>
      </c>
      <c r="I3" s="2" t="s">
        <v>31</v>
      </c>
      <c r="J3" s="3">
        <f>_xlfn.XLOOKUP(C3,'Dealer Operations'!B:B,'Dealer Operations'!I:I,"Not Found")</f>
        <v>82</v>
      </c>
      <c r="K3" s="4">
        <f>_xlfn.XLOOKUP(C3,'Dealer Operations'!B:B,'Dealer Operations'!J:J,"Not Found")</f>
        <v>10.1</v>
      </c>
      <c r="L3" s="4">
        <f>_xlfn.XLOOKUP(C3,'Dealer Operations'!B:B,'Dealer Operations'!K:K,"Not Found")</f>
        <v>56</v>
      </c>
      <c r="M3" s="3">
        <v>9</v>
      </c>
      <c r="N3" s="3">
        <v>5</v>
      </c>
      <c r="O3" s="3">
        <v>6</v>
      </c>
      <c r="P3" s="3">
        <v>0</v>
      </c>
      <c r="Q3" s="6">
        <f t="shared" si="0"/>
        <v>1.3</v>
      </c>
      <c r="R3" s="6">
        <f t="shared" si="1"/>
        <v>1.3</v>
      </c>
      <c r="S3" s="6">
        <f t="shared" si="2"/>
        <v>4</v>
      </c>
      <c r="T3" s="6">
        <f t="shared" si="3"/>
        <v>3.75</v>
      </c>
      <c r="U3" s="6">
        <f t="shared" si="4"/>
        <v>1.1000000000000001</v>
      </c>
      <c r="V3" s="6">
        <f t="shared" ref="V3:V66" si="12">IF(K3&lt;=5,1,IF(K3&lt;=10,1.1,IF(K3&lt;=15,1.3,1.5)))</f>
        <v>1.3</v>
      </c>
      <c r="W3" s="6">
        <f t="shared" si="5"/>
        <v>1.4</v>
      </c>
      <c r="X3" s="6">
        <f t="shared" si="6"/>
        <v>2</v>
      </c>
      <c r="Y3" s="6">
        <f t="shared" si="7"/>
        <v>5.07</v>
      </c>
      <c r="Z3" s="6">
        <f t="shared" si="8"/>
        <v>1.25</v>
      </c>
      <c r="AA3" s="6">
        <f t="shared" si="9"/>
        <v>12.675000000000001</v>
      </c>
      <c r="AB3" s="6">
        <f t="shared" si="10"/>
        <v>12.675000000000001</v>
      </c>
      <c r="AC3" s="7" t="str">
        <f t="shared" si="11"/>
        <v>Critical / Executive intervention</v>
      </c>
    </row>
    <row r="4" spans="1:29" x14ac:dyDescent="0.35">
      <c r="A4" s="2" t="s">
        <v>32</v>
      </c>
      <c r="B4" s="11">
        <v>1</v>
      </c>
      <c r="C4" s="11">
        <v>44117</v>
      </c>
      <c r="D4" s="11" t="str">
        <f>_xlfn.XLOOKUP(C4,'Dealer Operations'!B:B,'Dealer Operations'!C:C,"Not Found")</f>
        <v>Desert Hyundai</v>
      </c>
      <c r="E4" s="11" t="str">
        <f>_xlfn.XLOOKUP(C5,'Dealer Operations'!B:B,'Dealer Operations'!D:D,"Not Found")</f>
        <v>Fred Mercury</v>
      </c>
      <c r="F4" s="26">
        <f>_xlfn.XLOOKUP(A4,'Dealer Operations'!A:A,'Dealer Operations'!E:E,"Not Found")</f>
        <v>46113</v>
      </c>
      <c r="G4" s="3">
        <v>42</v>
      </c>
      <c r="H4" s="3">
        <v>5</v>
      </c>
      <c r="I4" s="2" t="s">
        <v>29</v>
      </c>
      <c r="J4" s="3">
        <f>_xlfn.XLOOKUP(C4,'Dealer Operations'!B:B,'Dealer Operations'!I:I,"Not Found")</f>
        <v>58</v>
      </c>
      <c r="K4" s="4">
        <f>_xlfn.XLOOKUP(C4,'Dealer Operations'!B:B,'Dealer Operations'!J:J,"Not Found")</f>
        <v>10.5</v>
      </c>
      <c r="L4" s="4">
        <f>_xlfn.XLOOKUP(C4,'Dealer Operations'!B:B,'Dealer Operations'!K:K,"Not Found")</f>
        <v>49</v>
      </c>
      <c r="M4" s="3">
        <v>3</v>
      </c>
      <c r="N4" s="3">
        <v>7</v>
      </c>
      <c r="O4" s="3">
        <v>10</v>
      </c>
      <c r="P4" s="3">
        <v>2</v>
      </c>
      <c r="Q4" s="6">
        <f t="shared" si="0"/>
        <v>1.6</v>
      </c>
      <c r="R4" s="6">
        <f t="shared" si="1"/>
        <v>1.45</v>
      </c>
      <c r="S4" s="6">
        <f t="shared" si="2"/>
        <v>4</v>
      </c>
      <c r="T4" s="6">
        <f t="shared" si="3"/>
        <v>1.75</v>
      </c>
      <c r="U4" s="6">
        <f t="shared" si="4"/>
        <v>1.35</v>
      </c>
      <c r="V4" s="6">
        <f t="shared" si="12"/>
        <v>1.3</v>
      </c>
      <c r="W4" s="6">
        <f t="shared" si="5"/>
        <v>1.4</v>
      </c>
      <c r="X4" s="6">
        <f t="shared" si="6"/>
        <v>2</v>
      </c>
      <c r="Y4" s="6">
        <f t="shared" si="7"/>
        <v>4.6577500000000001</v>
      </c>
      <c r="Z4" s="6">
        <f t="shared" si="8"/>
        <v>1.3375000000000001</v>
      </c>
      <c r="AA4" s="6">
        <f t="shared" si="9"/>
        <v>12.459481250000001</v>
      </c>
      <c r="AB4" s="6">
        <f t="shared" si="10"/>
        <v>12.459481250000001</v>
      </c>
      <c r="AC4" s="7" t="str">
        <f t="shared" si="11"/>
        <v>Critical / Executive intervention</v>
      </c>
    </row>
    <row r="5" spans="1:29" x14ac:dyDescent="0.35">
      <c r="A5" s="2" t="s">
        <v>33</v>
      </c>
      <c r="B5" s="11">
        <v>1</v>
      </c>
      <c r="C5" s="11">
        <v>77841</v>
      </c>
      <c r="D5" s="11" t="str">
        <f>_xlfn.XLOOKUP(C5,'Dealer Operations'!B:B,'Dealer Operations'!C:C,"Not Found")</f>
        <v>Victorville Hyundai</v>
      </c>
      <c r="E5" s="11" t="str">
        <f>_xlfn.XLOOKUP(C6,'Dealer Operations'!B:B,'Dealer Operations'!D:D,"Not Found")</f>
        <v>Fred Mercury</v>
      </c>
      <c r="F5" s="26">
        <f>_xlfn.XLOOKUP(A5,'Dealer Operations'!A:A,'Dealer Operations'!E:E,"Not Found")</f>
        <v>46132</v>
      </c>
      <c r="G5" s="3">
        <v>23</v>
      </c>
      <c r="H5" s="3">
        <v>3</v>
      </c>
      <c r="I5" s="2" t="s">
        <v>31</v>
      </c>
      <c r="J5" s="3">
        <f>_xlfn.XLOOKUP(C5,'Dealer Operations'!B:B,'Dealer Operations'!I:I,"Not Found")</f>
        <v>86</v>
      </c>
      <c r="K5" s="4">
        <f>_xlfn.XLOOKUP(C5,'Dealer Operations'!B:B,'Dealer Operations'!J:J,"Not Found")</f>
        <v>8</v>
      </c>
      <c r="L5" s="4">
        <f>_xlfn.XLOOKUP(C5,'Dealer Operations'!B:B,'Dealer Operations'!K:K,"Not Found")</f>
        <v>80</v>
      </c>
      <c r="M5" s="3">
        <v>9</v>
      </c>
      <c r="N5" s="3">
        <v>4</v>
      </c>
      <c r="O5" s="3">
        <v>5</v>
      </c>
      <c r="P5" s="3">
        <v>1</v>
      </c>
      <c r="Q5" s="6">
        <f t="shared" si="0"/>
        <v>1.3</v>
      </c>
      <c r="R5" s="6">
        <f t="shared" si="1"/>
        <v>1.3</v>
      </c>
      <c r="S5" s="6">
        <f t="shared" si="2"/>
        <v>4</v>
      </c>
      <c r="T5" s="6">
        <f t="shared" si="3"/>
        <v>3.75</v>
      </c>
      <c r="U5" s="6">
        <f t="shared" si="4"/>
        <v>1</v>
      </c>
      <c r="V5" s="6">
        <f t="shared" si="12"/>
        <v>1.1000000000000001</v>
      </c>
      <c r="W5" s="6">
        <f t="shared" si="5"/>
        <v>1.2</v>
      </c>
      <c r="X5" s="6">
        <f t="shared" si="6"/>
        <v>1.5</v>
      </c>
      <c r="Y5" s="6">
        <f t="shared" si="7"/>
        <v>5.07</v>
      </c>
      <c r="Z5" s="6">
        <f t="shared" si="8"/>
        <v>1.085</v>
      </c>
      <c r="AA5" s="6">
        <f t="shared" si="9"/>
        <v>8.2514250000000011</v>
      </c>
      <c r="AB5" s="6">
        <f t="shared" si="10"/>
        <v>8.2514250000000011</v>
      </c>
      <c r="AC5" s="7" t="str">
        <f t="shared" si="11"/>
        <v>High escalation risk</v>
      </c>
    </row>
    <row r="6" spans="1:29" x14ac:dyDescent="0.35">
      <c r="A6" s="2" t="s">
        <v>34</v>
      </c>
      <c r="B6" s="11">
        <v>1</v>
      </c>
      <c r="C6" s="11">
        <v>11425</v>
      </c>
      <c r="D6" s="11" t="str">
        <f>_xlfn.XLOOKUP(C6,'Dealer Operations'!B:B,'Dealer Operations'!C:C,"Not Found")</f>
        <v>Keyes Hyundai</v>
      </c>
      <c r="E6" s="11" t="str">
        <f>_xlfn.XLOOKUP(C7,'Dealer Operations'!B:B,'Dealer Operations'!D:D,"Not Found")</f>
        <v>Fred Mercury</v>
      </c>
      <c r="F6" s="26">
        <f>_xlfn.XLOOKUP(A6,'Dealer Operations'!A:A,'Dealer Operations'!E:E,"Not Found")</f>
        <v>46128</v>
      </c>
      <c r="G6" s="3">
        <v>27</v>
      </c>
      <c r="H6" s="3">
        <v>5</v>
      </c>
      <c r="I6" s="2" t="s">
        <v>29</v>
      </c>
      <c r="J6" s="3">
        <f>_xlfn.XLOOKUP(C6,'Dealer Operations'!B:B,'Dealer Operations'!I:I,"Not Found")</f>
        <v>86</v>
      </c>
      <c r="K6" s="4">
        <f>_xlfn.XLOOKUP(C6,'Dealer Operations'!B:B,'Dealer Operations'!J:J,"Not Found")</f>
        <v>6.8</v>
      </c>
      <c r="L6" s="4">
        <f>_xlfn.XLOOKUP(C6,'Dealer Operations'!B:B,'Dealer Operations'!K:K,"Not Found")</f>
        <v>89</v>
      </c>
      <c r="M6" s="3">
        <v>10</v>
      </c>
      <c r="N6" s="3">
        <v>2</v>
      </c>
      <c r="O6" s="3">
        <v>9</v>
      </c>
      <c r="P6" s="3">
        <v>1</v>
      </c>
      <c r="Q6" s="6">
        <f t="shared" si="0"/>
        <v>1.6</v>
      </c>
      <c r="R6" s="6">
        <f t="shared" si="1"/>
        <v>1.45</v>
      </c>
      <c r="S6" s="6">
        <f t="shared" si="2"/>
        <v>2.5</v>
      </c>
      <c r="T6" s="6">
        <f t="shared" si="3"/>
        <v>3.75</v>
      </c>
      <c r="U6" s="6">
        <f t="shared" si="4"/>
        <v>1</v>
      </c>
      <c r="V6" s="6">
        <f t="shared" si="12"/>
        <v>1.1000000000000001</v>
      </c>
      <c r="W6" s="6">
        <f t="shared" si="5"/>
        <v>1.1000000000000001</v>
      </c>
      <c r="X6" s="6">
        <f t="shared" si="6"/>
        <v>1.5</v>
      </c>
      <c r="Y6" s="6">
        <f t="shared" si="7"/>
        <v>4.5075000000000003</v>
      </c>
      <c r="Z6" s="6">
        <f t="shared" si="8"/>
        <v>1.0649999999999999</v>
      </c>
      <c r="AA6" s="6">
        <f t="shared" si="9"/>
        <v>7.2007312500000005</v>
      </c>
      <c r="AB6" s="6">
        <f t="shared" si="10"/>
        <v>7.2007312500000005</v>
      </c>
      <c r="AC6" s="7" t="str">
        <f t="shared" si="11"/>
        <v>High escalation risk</v>
      </c>
    </row>
    <row r="7" spans="1:29" x14ac:dyDescent="0.35">
      <c r="A7" s="2" t="s">
        <v>35</v>
      </c>
      <c r="B7" s="11">
        <v>1</v>
      </c>
      <c r="C7" s="11">
        <v>11425</v>
      </c>
      <c r="D7" s="11" t="str">
        <f>_xlfn.XLOOKUP(C7,'Dealer Operations'!B:B,'Dealer Operations'!C:C,"Not Found")</f>
        <v>Keyes Hyundai</v>
      </c>
      <c r="E7" s="11" t="str">
        <f>_xlfn.XLOOKUP(C8,'Dealer Operations'!B:B,'Dealer Operations'!D:D,"Not Found")</f>
        <v>Shohei Ohtani</v>
      </c>
      <c r="F7" s="26">
        <f>_xlfn.XLOOKUP(A7,'Dealer Operations'!A:A,'Dealer Operations'!E:E,"Not Found")</f>
        <v>46108</v>
      </c>
      <c r="G7" s="3">
        <v>47</v>
      </c>
      <c r="H7" s="3">
        <v>0</v>
      </c>
      <c r="I7" s="2" t="s">
        <v>31</v>
      </c>
      <c r="J7" s="3">
        <f>_xlfn.XLOOKUP(C7,'Dealer Operations'!B:B,'Dealer Operations'!I:I,"Not Found")</f>
        <v>86</v>
      </c>
      <c r="K7" s="4">
        <f>_xlfn.XLOOKUP(C7,'Dealer Operations'!B:B,'Dealer Operations'!J:J,"Not Found")</f>
        <v>6.8</v>
      </c>
      <c r="L7" s="4">
        <f>_xlfn.XLOOKUP(C7,'Dealer Operations'!B:B,'Dealer Operations'!K:K,"Not Found")</f>
        <v>89</v>
      </c>
      <c r="M7" s="3">
        <v>6</v>
      </c>
      <c r="N7" s="3">
        <v>7</v>
      </c>
      <c r="O7" s="3">
        <v>6</v>
      </c>
      <c r="P7" s="3">
        <v>0</v>
      </c>
      <c r="Q7" s="6">
        <f t="shared" si="0"/>
        <v>1.3</v>
      </c>
      <c r="R7" s="6">
        <f t="shared" si="1"/>
        <v>1</v>
      </c>
      <c r="S7" s="6">
        <f t="shared" si="2"/>
        <v>4</v>
      </c>
      <c r="T7" s="6">
        <f t="shared" si="3"/>
        <v>3.25</v>
      </c>
      <c r="U7" s="6">
        <f t="shared" si="4"/>
        <v>1</v>
      </c>
      <c r="V7" s="6">
        <f t="shared" si="12"/>
        <v>1.1000000000000001</v>
      </c>
      <c r="W7" s="6">
        <f t="shared" si="5"/>
        <v>1.1000000000000001</v>
      </c>
      <c r="X7" s="6">
        <f t="shared" si="6"/>
        <v>2</v>
      </c>
      <c r="Y7" s="6">
        <f t="shared" si="7"/>
        <v>4.0884999999999998</v>
      </c>
      <c r="Z7" s="6">
        <f t="shared" si="8"/>
        <v>1.0649999999999999</v>
      </c>
      <c r="AA7" s="6">
        <f t="shared" si="9"/>
        <v>8.7085049999999988</v>
      </c>
      <c r="AB7" s="6">
        <f t="shared" si="10"/>
        <v>8.7085049999999988</v>
      </c>
      <c r="AC7" s="7" t="str">
        <f t="shared" si="11"/>
        <v>High escalation risk</v>
      </c>
    </row>
    <row r="8" spans="1:29" x14ac:dyDescent="0.35">
      <c r="A8" s="2" t="s">
        <v>36</v>
      </c>
      <c r="B8" s="11">
        <v>1</v>
      </c>
      <c r="C8" s="11">
        <v>81773</v>
      </c>
      <c r="D8" s="11" t="str">
        <f>_xlfn.XLOOKUP(C8,'Dealer Operations'!B:B,'Dealer Operations'!C:C,"Not Found")</f>
        <v>Hyundai San Diego</v>
      </c>
      <c r="E8" s="11" t="str">
        <f>_xlfn.XLOOKUP(C9,'Dealer Operations'!B:B,'Dealer Operations'!D:D,"Not Found")</f>
        <v>Fred Mercury</v>
      </c>
      <c r="F8" s="26">
        <f>_xlfn.XLOOKUP(A8,'Dealer Operations'!A:A,'Dealer Operations'!E:E,"Not Found")</f>
        <v>46120</v>
      </c>
      <c r="G8" s="3">
        <v>35</v>
      </c>
      <c r="H8" s="3">
        <v>5</v>
      </c>
      <c r="I8" s="2" t="s">
        <v>31</v>
      </c>
      <c r="J8" s="3">
        <f>_xlfn.XLOOKUP(C8,'Dealer Operations'!B:B,'Dealer Operations'!I:I,"Not Found")</f>
        <v>68</v>
      </c>
      <c r="K8" s="4">
        <f>_xlfn.XLOOKUP(C8,'Dealer Operations'!B:B,'Dealer Operations'!J:J,"Not Found")</f>
        <v>9.3000000000000007</v>
      </c>
      <c r="L8" s="4">
        <f>_xlfn.XLOOKUP(C8,'Dealer Operations'!B:B,'Dealer Operations'!K:K,"Not Found")</f>
        <v>55</v>
      </c>
      <c r="M8" s="3">
        <v>10</v>
      </c>
      <c r="N8" s="3">
        <v>1</v>
      </c>
      <c r="O8" s="3">
        <v>6</v>
      </c>
      <c r="P8" s="3">
        <v>2</v>
      </c>
      <c r="Q8" s="6">
        <f t="shared" si="0"/>
        <v>1.3</v>
      </c>
      <c r="R8" s="6">
        <f t="shared" si="1"/>
        <v>1.45</v>
      </c>
      <c r="S8" s="6">
        <f t="shared" si="2"/>
        <v>1.75</v>
      </c>
      <c r="T8" s="6">
        <f t="shared" si="3"/>
        <v>3.75</v>
      </c>
      <c r="U8" s="6">
        <f t="shared" si="4"/>
        <v>1.25</v>
      </c>
      <c r="V8" s="6">
        <f t="shared" si="12"/>
        <v>1.1000000000000001</v>
      </c>
      <c r="W8" s="6">
        <f t="shared" si="5"/>
        <v>1.4</v>
      </c>
      <c r="X8" s="6">
        <f t="shared" si="6"/>
        <v>2</v>
      </c>
      <c r="Y8" s="6">
        <f t="shared" si="7"/>
        <v>3.5636249999999996</v>
      </c>
      <c r="Z8" s="6">
        <f t="shared" si="8"/>
        <v>1.2125000000000001</v>
      </c>
      <c r="AA8" s="6">
        <f t="shared" si="9"/>
        <v>8.6417906250000005</v>
      </c>
      <c r="AB8" s="6">
        <f t="shared" si="10"/>
        <v>8.6417906250000005</v>
      </c>
      <c r="AC8" s="7" t="str">
        <f t="shared" si="11"/>
        <v>High escalation risk</v>
      </c>
    </row>
    <row r="9" spans="1:29" x14ac:dyDescent="0.35">
      <c r="A9" s="2" t="s">
        <v>37</v>
      </c>
      <c r="B9" s="11">
        <v>1</v>
      </c>
      <c r="C9" s="11">
        <v>11425</v>
      </c>
      <c r="D9" s="11" t="str">
        <f>_xlfn.XLOOKUP(C9,'Dealer Operations'!B:B,'Dealer Operations'!C:C,"Not Found")</f>
        <v>Keyes Hyundai</v>
      </c>
      <c r="E9" s="11" t="str">
        <f>_xlfn.XLOOKUP(C10,'Dealer Operations'!B:B,'Dealer Operations'!D:D,"Not Found")</f>
        <v>Fred Mercury</v>
      </c>
      <c r="F9" s="26">
        <f>_xlfn.XLOOKUP(A9,'Dealer Operations'!A:A,'Dealer Operations'!E:E,"Not Found")</f>
        <v>46130</v>
      </c>
      <c r="G9" s="3">
        <v>25</v>
      </c>
      <c r="H9" s="3">
        <v>5</v>
      </c>
      <c r="I9" s="2" t="s">
        <v>38</v>
      </c>
      <c r="J9" s="3">
        <f>_xlfn.XLOOKUP(C9,'Dealer Operations'!B:B,'Dealer Operations'!I:I,"Not Found")</f>
        <v>86</v>
      </c>
      <c r="K9" s="4">
        <f>_xlfn.XLOOKUP(C9,'Dealer Operations'!B:B,'Dealer Operations'!J:J,"Not Found")</f>
        <v>6.8</v>
      </c>
      <c r="L9" s="4">
        <f>_xlfn.XLOOKUP(C9,'Dealer Operations'!B:B,'Dealer Operations'!K:K,"Not Found")</f>
        <v>89</v>
      </c>
      <c r="M9" s="3">
        <v>8</v>
      </c>
      <c r="N9" s="3">
        <v>5</v>
      </c>
      <c r="O9" s="3">
        <v>7</v>
      </c>
      <c r="P9" s="3">
        <v>2</v>
      </c>
      <c r="Q9" s="6">
        <f t="shared" si="0"/>
        <v>0.85</v>
      </c>
      <c r="R9" s="6">
        <f t="shared" si="1"/>
        <v>1.45</v>
      </c>
      <c r="S9" s="6">
        <f t="shared" si="2"/>
        <v>4</v>
      </c>
      <c r="T9" s="6">
        <f t="shared" si="3"/>
        <v>3.75</v>
      </c>
      <c r="U9" s="6">
        <f t="shared" si="4"/>
        <v>1</v>
      </c>
      <c r="V9" s="6">
        <f t="shared" si="12"/>
        <v>1.1000000000000001</v>
      </c>
      <c r="W9" s="6">
        <f t="shared" si="5"/>
        <v>1.1000000000000001</v>
      </c>
      <c r="X9" s="6">
        <f t="shared" si="6"/>
        <v>1.5</v>
      </c>
      <c r="Y9" s="6">
        <f t="shared" si="7"/>
        <v>4.8360000000000003</v>
      </c>
      <c r="Z9" s="6">
        <f t="shared" si="8"/>
        <v>1.0649999999999999</v>
      </c>
      <c r="AA9" s="6">
        <f t="shared" si="9"/>
        <v>7.7255099999999999</v>
      </c>
      <c r="AB9" s="6">
        <f t="shared" si="10"/>
        <v>7.7255099999999999</v>
      </c>
      <c r="AC9" s="7" t="str">
        <f t="shared" si="11"/>
        <v>High escalation risk</v>
      </c>
    </row>
    <row r="10" spans="1:29" x14ac:dyDescent="0.35">
      <c r="A10" s="2" t="s">
        <v>39</v>
      </c>
      <c r="B10" s="11">
        <v>1</v>
      </c>
      <c r="C10" s="11">
        <v>77841</v>
      </c>
      <c r="D10" s="11" t="str">
        <f>_xlfn.XLOOKUP(C10,'Dealer Operations'!B:B,'Dealer Operations'!C:C,"Not Found")</f>
        <v>Victorville Hyundai</v>
      </c>
      <c r="E10" s="11" t="str">
        <f>_xlfn.XLOOKUP(C11,'Dealer Operations'!B:B,'Dealer Operations'!D:D,"Not Found")</f>
        <v>Fred Mercury</v>
      </c>
      <c r="F10" s="26">
        <f>_xlfn.XLOOKUP(A10,'Dealer Operations'!A:A,'Dealer Operations'!E:E,"Not Found")</f>
        <v>46140</v>
      </c>
      <c r="G10" s="3">
        <v>15</v>
      </c>
      <c r="H10" s="3">
        <v>1</v>
      </c>
      <c r="I10" s="2" t="s">
        <v>29</v>
      </c>
      <c r="J10" s="3">
        <f>_xlfn.XLOOKUP(C10,'Dealer Operations'!B:B,'Dealer Operations'!I:I,"Not Found")</f>
        <v>86</v>
      </c>
      <c r="K10" s="4">
        <f>_xlfn.XLOOKUP(C10,'Dealer Operations'!B:B,'Dealer Operations'!J:J,"Not Found")</f>
        <v>8</v>
      </c>
      <c r="L10" s="4">
        <f>_xlfn.XLOOKUP(C10,'Dealer Operations'!B:B,'Dealer Operations'!K:K,"Not Found")</f>
        <v>80</v>
      </c>
      <c r="M10" s="3">
        <v>7</v>
      </c>
      <c r="N10" s="3">
        <v>7</v>
      </c>
      <c r="O10" s="3">
        <v>9</v>
      </c>
      <c r="P10" s="3">
        <v>1</v>
      </c>
      <c r="Q10" s="6">
        <f t="shared" si="0"/>
        <v>1.6</v>
      </c>
      <c r="R10" s="6">
        <f t="shared" si="1"/>
        <v>1</v>
      </c>
      <c r="S10" s="6">
        <f t="shared" si="2"/>
        <v>4</v>
      </c>
      <c r="T10" s="6">
        <f t="shared" si="3"/>
        <v>3.25</v>
      </c>
      <c r="U10" s="6">
        <f t="shared" si="4"/>
        <v>1</v>
      </c>
      <c r="V10" s="6">
        <f t="shared" si="12"/>
        <v>1.1000000000000001</v>
      </c>
      <c r="W10" s="6">
        <f t="shared" si="5"/>
        <v>1.2</v>
      </c>
      <c r="X10" s="6">
        <f t="shared" si="6"/>
        <v>1.25</v>
      </c>
      <c r="Y10" s="6">
        <f t="shared" si="7"/>
        <v>4.4770000000000003</v>
      </c>
      <c r="Z10" s="6">
        <f t="shared" si="8"/>
        <v>1.085</v>
      </c>
      <c r="AA10" s="6">
        <f t="shared" si="9"/>
        <v>6.0719312500000004</v>
      </c>
      <c r="AB10" s="6">
        <f t="shared" si="10"/>
        <v>6.0719312500000004</v>
      </c>
      <c r="AC10" s="7" t="str">
        <f t="shared" si="11"/>
        <v>High escalation risk</v>
      </c>
    </row>
    <row r="11" spans="1:29" x14ac:dyDescent="0.35">
      <c r="A11" s="2" t="s">
        <v>51</v>
      </c>
      <c r="B11" s="11">
        <v>0</v>
      </c>
      <c r="C11" s="11">
        <v>77841</v>
      </c>
      <c r="D11" s="11" t="str">
        <f>_xlfn.XLOOKUP(C11,'Dealer Operations'!B:B,'Dealer Operations'!C:C,"Not Found")</f>
        <v>Victorville Hyundai</v>
      </c>
      <c r="E11" s="11" t="str">
        <f>_xlfn.XLOOKUP(C12,'Dealer Operations'!B:B,'Dealer Operations'!D:D,"Not Found")</f>
        <v>Shohei Ohtani</v>
      </c>
      <c r="F11" s="26">
        <f>_xlfn.XLOOKUP(A11,'Dealer Operations'!A:A,'Dealer Operations'!E:E,"Not Found")</f>
        <v>46127</v>
      </c>
      <c r="G11" s="3">
        <v>28</v>
      </c>
      <c r="H11" s="3">
        <v>4</v>
      </c>
      <c r="I11" s="2" t="s">
        <v>29</v>
      </c>
      <c r="J11" s="3">
        <f>_xlfn.XLOOKUP(C11,'Dealer Operations'!B:B,'Dealer Operations'!I:I,"Not Found")</f>
        <v>86</v>
      </c>
      <c r="K11" s="4">
        <f>_xlfn.XLOOKUP(C11,'Dealer Operations'!B:B,'Dealer Operations'!J:J,"Not Found")</f>
        <v>8</v>
      </c>
      <c r="L11" s="4">
        <f>_xlfn.XLOOKUP(C11,'Dealer Operations'!B:B,'Dealer Operations'!K:K,"Not Found")</f>
        <v>80</v>
      </c>
      <c r="M11" s="3">
        <v>6</v>
      </c>
      <c r="N11" s="3">
        <v>3</v>
      </c>
      <c r="O11" s="3">
        <v>8</v>
      </c>
      <c r="P11" s="3">
        <v>2</v>
      </c>
      <c r="Q11" s="6">
        <f t="shared" si="0"/>
        <v>1.6</v>
      </c>
      <c r="R11" s="6">
        <f t="shared" si="1"/>
        <v>1.45</v>
      </c>
      <c r="S11" s="6">
        <f t="shared" si="2"/>
        <v>3.25</v>
      </c>
      <c r="T11" s="6">
        <f t="shared" si="3"/>
        <v>3.25</v>
      </c>
      <c r="U11" s="6">
        <f t="shared" si="4"/>
        <v>1</v>
      </c>
      <c r="V11" s="6">
        <f t="shared" si="12"/>
        <v>1.1000000000000001</v>
      </c>
      <c r="W11" s="6">
        <f t="shared" si="5"/>
        <v>1.2</v>
      </c>
      <c r="X11" s="6">
        <f t="shared" si="6"/>
        <v>1.5</v>
      </c>
      <c r="Y11" s="6">
        <f t="shared" si="7"/>
        <v>4.8831249999999997</v>
      </c>
      <c r="Z11" s="6">
        <f t="shared" si="8"/>
        <v>1.085</v>
      </c>
      <c r="AA11" s="6">
        <f t="shared" si="9"/>
        <v>7.9472859374999985</v>
      </c>
      <c r="AB11" s="6">
        <f t="shared" si="10"/>
        <v>7.9472859374999985</v>
      </c>
      <c r="AC11" s="7" t="str">
        <f t="shared" si="11"/>
        <v>High escalation risk</v>
      </c>
    </row>
    <row r="12" spans="1:29" x14ac:dyDescent="0.35">
      <c r="A12" s="2" t="s">
        <v>52</v>
      </c>
      <c r="B12" s="11">
        <v>0</v>
      </c>
      <c r="C12" s="11">
        <v>81773</v>
      </c>
      <c r="D12" s="11" t="str">
        <f>_xlfn.XLOOKUP(C12,'Dealer Operations'!B:B,'Dealer Operations'!C:C,"Not Found")</f>
        <v>Hyundai San Diego</v>
      </c>
      <c r="E12" s="11" t="str">
        <f>_xlfn.XLOOKUP(C13,'Dealer Operations'!B:B,'Dealer Operations'!D:D,"Not Found")</f>
        <v>Shohei Ohtani</v>
      </c>
      <c r="F12" s="26">
        <f>_xlfn.XLOOKUP(A12,'Dealer Operations'!A:A,'Dealer Operations'!E:E,"Not Found")</f>
        <v>46113</v>
      </c>
      <c r="G12" s="3">
        <v>42</v>
      </c>
      <c r="H12" s="3">
        <v>2</v>
      </c>
      <c r="I12" s="2" t="s">
        <v>31</v>
      </c>
      <c r="J12" s="3">
        <f>_xlfn.XLOOKUP(C12,'Dealer Operations'!B:B,'Dealer Operations'!I:I,"Not Found")</f>
        <v>68</v>
      </c>
      <c r="K12" s="4">
        <f>_xlfn.XLOOKUP(C12,'Dealer Operations'!B:B,'Dealer Operations'!J:J,"Not Found")</f>
        <v>9.3000000000000007</v>
      </c>
      <c r="L12" s="4">
        <f>_xlfn.XLOOKUP(C12,'Dealer Operations'!B:B,'Dealer Operations'!K:K,"Not Found")</f>
        <v>55</v>
      </c>
      <c r="M12" s="3">
        <v>10</v>
      </c>
      <c r="N12" s="3">
        <v>2</v>
      </c>
      <c r="O12" s="3">
        <v>10</v>
      </c>
      <c r="P12" s="3">
        <v>4</v>
      </c>
      <c r="Q12" s="6">
        <f t="shared" si="0"/>
        <v>1.3</v>
      </c>
      <c r="R12" s="6">
        <f t="shared" si="1"/>
        <v>1.1499999999999999</v>
      </c>
      <c r="S12" s="6">
        <f t="shared" si="2"/>
        <v>2.5</v>
      </c>
      <c r="T12" s="6">
        <f t="shared" si="3"/>
        <v>3.75</v>
      </c>
      <c r="U12" s="6">
        <f t="shared" si="4"/>
        <v>1.25</v>
      </c>
      <c r="V12" s="6">
        <f t="shared" si="12"/>
        <v>1.1000000000000001</v>
      </c>
      <c r="W12" s="6">
        <f t="shared" si="5"/>
        <v>1.4</v>
      </c>
      <c r="X12" s="6">
        <f t="shared" si="6"/>
        <v>2</v>
      </c>
      <c r="Y12" s="6">
        <f t="shared" si="7"/>
        <v>3.6074999999999999</v>
      </c>
      <c r="Z12" s="6">
        <f t="shared" si="8"/>
        <v>1.2125000000000001</v>
      </c>
      <c r="AA12" s="6">
        <f t="shared" si="9"/>
        <v>8.7481875000000002</v>
      </c>
      <c r="AB12" s="6">
        <f t="shared" si="10"/>
        <v>8.7481875000000002</v>
      </c>
      <c r="AC12" s="7" t="str">
        <f>IF(AB12&lt;3,"Low operational exposure",IF(AB12&lt;6,"Moderate friction",IF(AB12&lt;10,"High escalation risk",IF(AB12&lt;12,"Severe exposure","Critical / Executive intervention"))))</f>
        <v>High escalation risk</v>
      </c>
    </row>
    <row r="13" spans="1:29" x14ac:dyDescent="0.35">
      <c r="A13" s="2" t="s">
        <v>53</v>
      </c>
      <c r="B13" s="11">
        <v>0</v>
      </c>
      <c r="C13" s="11">
        <v>55102</v>
      </c>
      <c r="D13" s="11" t="str">
        <f>_xlfn.XLOOKUP(C13,'Dealer Operations'!B:B,'Dealer Operations'!C:C,"Not Found")</f>
        <v>Riverside Hyundai</v>
      </c>
      <c r="E13" s="11" t="str">
        <f>_xlfn.XLOOKUP(C14,'Dealer Operations'!B:B,'Dealer Operations'!D:D,"Not Found")</f>
        <v>Fred Mercury</v>
      </c>
      <c r="F13" s="26">
        <f>_xlfn.XLOOKUP(A13,'Dealer Operations'!A:A,'Dealer Operations'!E:E,"Not Found")</f>
        <v>46122</v>
      </c>
      <c r="G13" s="3">
        <v>33</v>
      </c>
      <c r="H13" s="3">
        <v>4</v>
      </c>
      <c r="I13" s="2" t="s">
        <v>31</v>
      </c>
      <c r="J13" s="3">
        <f>_xlfn.XLOOKUP(C13,'Dealer Operations'!B:B,'Dealer Operations'!I:I,"Not Found")</f>
        <v>94</v>
      </c>
      <c r="K13" s="4">
        <f>_xlfn.XLOOKUP(C13,'Dealer Operations'!B:B,'Dealer Operations'!J:J,"Not Found")</f>
        <v>8.4</v>
      </c>
      <c r="L13" s="4">
        <f>_xlfn.XLOOKUP(C13,'Dealer Operations'!B:B,'Dealer Operations'!K:K,"Not Found")</f>
        <v>87</v>
      </c>
      <c r="M13" s="3">
        <v>10</v>
      </c>
      <c r="N13" s="3">
        <v>1</v>
      </c>
      <c r="O13" s="3">
        <v>3</v>
      </c>
      <c r="P13" s="3">
        <v>2</v>
      </c>
      <c r="Q13" s="6">
        <f t="shared" si="0"/>
        <v>1.3</v>
      </c>
      <c r="R13" s="6">
        <f t="shared" si="1"/>
        <v>1.45</v>
      </c>
      <c r="S13" s="6">
        <f t="shared" si="2"/>
        <v>1.75</v>
      </c>
      <c r="T13" s="6">
        <f t="shared" si="3"/>
        <v>3.75</v>
      </c>
      <c r="U13" s="6">
        <f t="shared" si="4"/>
        <v>1</v>
      </c>
      <c r="V13" s="6">
        <f t="shared" si="12"/>
        <v>1.1000000000000001</v>
      </c>
      <c r="W13" s="6">
        <f t="shared" si="5"/>
        <v>1.1000000000000001</v>
      </c>
      <c r="X13" s="6">
        <f t="shared" si="6"/>
        <v>2</v>
      </c>
      <c r="Y13" s="6">
        <f t="shared" si="7"/>
        <v>3.5636249999999996</v>
      </c>
      <c r="Z13" s="6">
        <f t="shared" si="8"/>
        <v>1.0649999999999999</v>
      </c>
      <c r="AA13" s="6">
        <f t="shared" si="9"/>
        <v>7.5905212499999983</v>
      </c>
      <c r="AB13" s="6">
        <f t="shared" si="10"/>
        <v>7.5905212499999983</v>
      </c>
      <c r="AC13" s="7" t="str">
        <f t="shared" si="11"/>
        <v>High escalation risk</v>
      </c>
    </row>
    <row r="14" spans="1:29" x14ac:dyDescent="0.35">
      <c r="A14" s="2" t="s">
        <v>54</v>
      </c>
      <c r="B14" s="11">
        <v>0</v>
      </c>
      <c r="C14" s="11">
        <v>51244</v>
      </c>
      <c r="D14" s="11" t="str">
        <f>_xlfn.XLOOKUP(C14,'Dealer Operations'!B:B,'Dealer Operations'!C:C,"Not Found")</f>
        <v>Hyundai Long Beach</v>
      </c>
      <c r="E14" s="11" t="str">
        <f>_xlfn.XLOOKUP(C15,'Dealer Operations'!B:B,'Dealer Operations'!D:D,"Not Found")</f>
        <v>Fred Mercury</v>
      </c>
      <c r="F14" s="26">
        <f>_xlfn.XLOOKUP(A14,'Dealer Operations'!A:A,'Dealer Operations'!E:E,"Not Found")</f>
        <v>46112</v>
      </c>
      <c r="G14" s="3">
        <v>43</v>
      </c>
      <c r="H14" s="3">
        <v>4</v>
      </c>
      <c r="I14" s="2" t="s">
        <v>38</v>
      </c>
      <c r="J14" s="3">
        <f>_xlfn.XLOOKUP(C14,'Dealer Operations'!B:B,'Dealer Operations'!I:I,"Not Found")</f>
        <v>82</v>
      </c>
      <c r="K14" s="4">
        <f>_xlfn.XLOOKUP(C14,'Dealer Operations'!B:B,'Dealer Operations'!J:J,"Not Found")</f>
        <v>9.1999999999999993</v>
      </c>
      <c r="L14" s="4">
        <f>_xlfn.XLOOKUP(C14,'Dealer Operations'!B:B,'Dealer Operations'!K:K,"Not Found")</f>
        <v>83</v>
      </c>
      <c r="M14" s="3">
        <v>4</v>
      </c>
      <c r="N14" s="3">
        <v>3</v>
      </c>
      <c r="O14" s="3">
        <v>8</v>
      </c>
      <c r="P14" s="3">
        <v>3</v>
      </c>
      <c r="Q14" s="6">
        <f t="shared" si="0"/>
        <v>0.85</v>
      </c>
      <c r="R14" s="6">
        <f t="shared" si="1"/>
        <v>1.45</v>
      </c>
      <c r="S14" s="6">
        <f t="shared" si="2"/>
        <v>3.25</v>
      </c>
      <c r="T14" s="6">
        <f t="shared" si="3"/>
        <v>2.5</v>
      </c>
      <c r="U14" s="6">
        <f t="shared" si="4"/>
        <v>1.1000000000000001</v>
      </c>
      <c r="V14" s="6">
        <f t="shared" si="12"/>
        <v>1.1000000000000001</v>
      </c>
      <c r="W14" s="6">
        <f t="shared" si="5"/>
        <v>1.2</v>
      </c>
      <c r="X14" s="6">
        <f t="shared" si="6"/>
        <v>2</v>
      </c>
      <c r="Y14" s="6">
        <f t="shared" si="7"/>
        <v>3.6580000000000004</v>
      </c>
      <c r="Z14" s="6">
        <f t="shared" si="8"/>
        <v>1.1200000000000001</v>
      </c>
      <c r="AA14" s="6">
        <f t="shared" si="9"/>
        <v>8.1939200000000021</v>
      </c>
      <c r="AB14" s="6">
        <f t="shared" si="10"/>
        <v>8.1939200000000021</v>
      </c>
      <c r="AC14" s="7" t="str">
        <f t="shared" si="11"/>
        <v>High escalation risk</v>
      </c>
    </row>
    <row r="15" spans="1:29" x14ac:dyDescent="0.35">
      <c r="A15" s="2" t="s">
        <v>55</v>
      </c>
      <c r="B15" s="11">
        <v>0</v>
      </c>
      <c r="C15" s="11">
        <v>99214</v>
      </c>
      <c r="D15" s="11" t="str">
        <f>_xlfn.XLOOKUP(C15,'Dealer Operations'!B:B,'Dealer Operations'!C:C,"Not Found")</f>
        <v>Temecula Hyundai</v>
      </c>
      <c r="E15" s="11" t="str">
        <f>_xlfn.XLOOKUP(C16,'Dealer Operations'!B:B,'Dealer Operations'!D:D,"Not Found")</f>
        <v>Shohei Ohtani</v>
      </c>
      <c r="F15" s="26">
        <f>_xlfn.XLOOKUP(A15,'Dealer Operations'!A:A,'Dealer Operations'!E:E,"Not Found")</f>
        <v>46125</v>
      </c>
      <c r="G15" s="3">
        <v>30</v>
      </c>
      <c r="H15" s="3">
        <v>5</v>
      </c>
      <c r="I15" s="2" t="s">
        <v>29</v>
      </c>
      <c r="J15" s="3">
        <f>_xlfn.XLOOKUP(C15,'Dealer Operations'!B:B,'Dealer Operations'!I:I,"Not Found")</f>
        <v>68</v>
      </c>
      <c r="K15" s="4">
        <f>_xlfn.XLOOKUP(C15,'Dealer Operations'!B:B,'Dealer Operations'!J:J,"Not Found")</f>
        <v>8.4</v>
      </c>
      <c r="L15" s="4">
        <f>_xlfn.XLOOKUP(C15,'Dealer Operations'!B:B,'Dealer Operations'!K:K,"Not Found")</f>
        <v>88</v>
      </c>
      <c r="M15" s="3">
        <v>9</v>
      </c>
      <c r="N15" s="3">
        <v>1</v>
      </c>
      <c r="O15" s="3">
        <v>10</v>
      </c>
      <c r="P15" s="3">
        <v>1</v>
      </c>
      <c r="Q15" s="6">
        <f t="shared" si="0"/>
        <v>1.6</v>
      </c>
      <c r="R15" s="6">
        <f t="shared" si="1"/>
        <v>1.45</v>
      </c>
      <c r="S15" s="6">
        <f t="shared" si="2"/>
        <v>1.75</v>
      </c>
      <c r="T15" s="6">
        <f t="shared" si="3"/>
        <v>3.75</v>
      </c>
      <c r="U15" s="6">
        <f t="shared" si="4"/>
        <v>1.25</v>
      </c>
      <c r="V15" s="6">
        <f t="shared" si="12"/>
        <v>1.1000000000000001</v>
      </c>
      <c r="W15" s="6">
        <f t="shared" si="5"/>
        <v>1.1000000000000001</v>
      </c>
      <c r="X15" s="6">
        <f t="shared" si="6"/>
        <v>2</v>
      </c>
      <c r="Y15" s="6">
        <f t="shared" si="7"/>
        <v>3.8313749999999995</v>
      </c>
      <c r="Z15" s="6">
        <f t="shared" si="8"/>
        <v>1.1525000000000001</v>
      </c>
      <c r="AA15" s="6">
        <f t="shared" si="9"/>
        <v>8.8313193749999996</v>
      </c>
      <c r="AB15" s="6">
        <f t="shared" si="10"/>
        <v>8.8313193749999996</v>
      </c>
      <c r="AC15" s="7" t="str">
        <f t="shared" si="11"/>
        <v>High escalation risk</v>
      </c>
    </row>
    <row r="16" spans="1:29" x14ac:dyDescent="0.35">
      <c r="A16" s="2" t="s">
        <v>56</v>
      </c>
      <c r="B16" s="11">
        <v>0</v>
      </c>
      <c r="C16" s="11">
        <v>66520</v>
      </c>
      <c r="D16" s="11" t="str">
        <f>_xlfn.XLOOKUP(C16,'Dealer Operations'!B:B,'Dealer Operations'!C:C,"Not Found")</f>
        <v>Hyundai Santa Monica</v>
      </c>
      <c r="E16" s="11" t="str">
        <f>_xlfn.XLOOKUP(C17,'Dealer Operations'!B:B,'Dealer Operations'!D:D,"Not Found")</f>
        <v>Fred Mercury</v>
      </c>
      <c r="F16" s="26">
        <f>_xlfn.XLOOKUP(A16,'Dealer Operations'!A:A,'Dealer Operations'!E:E,"Not Found")</f>
        <v>46117</v>
      </c>
      <c r="G16" s="3">
        <v>38</v>
      </c>
      <c r="H16" s="3">
        <v>1</v>
      </c>
      <c r="I16" s="2" t="s">
        <v>31</v>
      </c>
      <c r="J16" s="3">
        <f>_xlfn.XLOOKUP(C16,'Dealer Operations'!B:B,'Dealer Operations'!I:I,"Not Found")</f>
        <v>82</v>
      </c>
      <c r="K16" s="4">
        <f>_xlfn.XLOOKUP(C16,'Dealer Operations'!B:B,'Dealer Operations'!J:J,"Not Found")</f>
        <v>10.1</v>
      </c>
      <c r="L16" s="4">
        <f>_xlfn.XLOOKUP(C16,'Dealer Operations'!B:B,'Dealer Operations'!K:K,"Not Found")</f>
        <v>56</v>
      </c>
      <c r="M16" s="3">
        <v>8</v>
      </c>
      <c r="N16" s="3">
        <v>2</v>
      </c>
      <c r="O16" s="3">
        <v>5</v>
      </c>
      <c r="P16" s="3">
        <v>0</v>
      </c>
      <c r="Q16" s="6">
        <f t="shared" si="0"/>
        <v>1.3</v>
      </c>
      <c r="R16" s="6">
        <f t="shared" si="1"/>
        <v>1</v>
      </c>
      <c r="S16" s="6">
        <f t="shared" si="2"/>
        <v>2.5</v>
      </c>
      <c r="T16" s="6">
        <f t="shared" si="3"/>
        <v>3.75</v>
      </c>
      <c r="U16" s="6">
        <f t="shared" si="4"/>
        <v>1.1000000000000001</v>
      </c>
      <c r="V16" s="6">
        <f t="shared" si="12"/>
        <v>1.3</v>
      </c>
      <c r="W16" s="6">
        <f t="shared" si="5"/>
        <v>1.4</v>
      </c>
      <c r="X16" s="6">
        <f t="shared" si="6"/>
        <v>2</v>
      </c>
      <c r="Y16" s="6">
        <f t="shared" si="7"/>
        <v>3.3149999999999999</v>
      </c>
      <c r="Z16" s="6">
        <f t="shared" si="8"/>
        <v>1.25</v>
      </c>
      <c r="AA16" s="6">
        <f t="shared" si="9"/>
        <v>8.2874999999999996</v>
      </c>
      <c r="AB16" s="6">
        <f t="shared" si="10"/>
        <v>8.2874999999999996</v>
      </c>
      <c r="AC16" s="7" t="str">
        <f t="shared" si="11"/>
        <v>High escalation risk</v>
      </c>
    </row>
    <row r="17" spans="1:29" x14ac:dyDescent="0.35">
      <c r="A17" s="2" t="s">
        <v>57</v>
      </c>
      <c r="B17" s="11">
        <v>0</v>
      </c>
      <c r="C17" s="11">
        <v>77841</v>
      </c>
      <c r="D17" s="11" t="str">
        <f>_xlfn.XLOOKUP(C17,'Dealer Operations'!B:B,'Dealer Operations'!C:C,"Not Found")</f>
        <v>Victorville Hyundai</v>
      </c>
      <c r="E17" s="11" t="str">
        <f>_xlfn.XLOOKUP(C18,'Dealer Operations'!B:B,'Dealer Operations'!D:D,"Not Found")</f>
        <v>Shohei Ohtani</v>
      </c>
      <c r="F17" s="26">
        <f>_xlfn.XLOOKUP(A17,'Dealer Operations'!A:A,'Dealer Operations'!E:E,"Not Found")</f>
        <v>46110</v>
      </c>
      <c r="G17" s="3">
        <v>45</v>
      </c>
      <c r="H17" s="3">
        <v>0</v>
      </c>
      <c r="I17" s="2" t="s">
        <v>38</v>
      </c>
      <c r="J17" s="3">
        <f>_xlfn.XLOOKUP(C17,'Dealer Operations'!B:B,'Dealer Operations'!I:I,"Not Found")</f>
        <v>86</v>
      </c>
      <c r="K17" s="4">
        <f>_xlfn.XLOOKUP(C17,'Dealer Operations'!B:B,'Dealer Operations'!J:J,"Not Found")</f>
        <v>8</v>
      </c>
      <c r="L17" s="4">
        <f>_xlfn.XLOOKUP(C17,'Dealer Operations'!B:B,'Dealer Operations'!K:K,"Not Found")</f>
        <v>80</v>
      </c>
      <c r="M17" s="3">
        <v>9</v>
      </c>
      <c r="N17" s="3">
        <v>4</v>
      </c>
      <c r="O17" s="3">
        <v>5</v>
      </c>
      <c r="P17" s="3">
        <v>0</v>
      </c>
      <c r="Q17" s="6">
        <f t="shared" si="0"/>
        <v>0.85</v>
      </c>
      <c r="R17" s="6">
        <f t="shared" si="1"/>
        <v>1</v>
      </c>
      <c r="S17" s="6">
        <f t="shared" si="2"/>
        <v>4</v>
      </c>
      <c r="T17" s="6">
        <f t="shared" si="3"/>
        <v>3.75</v>
      </c>
      <c r="U17" s="6">
        <f t="shared" si="4"/>
        <v>1</v>
      </c>
      <c r="V17" s="6">
        <f t="shared" si="12"/>
        <v>1.1000000000000001</v>
      </c>
      <c r="W17" s="6">
        <f t="shared" si="5"/>
        <v>1.2</v>
      </c>
      <c r="X17" s="6">
        <f t="shared" si="6"/>
        <v>2</v>
      </c>
      <c r="Y17" s="6">
        <f t="shared" si="7"/>
        <v>3.6952500000000001</v>
      </c>
      <c r="Z17" s="6">
        <f t="shared" si="8"/>
        <v>1.085</v>
      </c>
      <c r="AA17" s="6">
        <f t="shared" si="9"/>
        <v>8.0186925000000002</v>
      </c>
      <c r="AB17" s="6">
        <f t="shared" si="10"/>
        <v>8.0186925000000002</v>
      </c>
      <c r="AC17" s="7" t="str">
        <f t="shared" si="11"/>
        <v>High escalation risk</v>
      </c>
    </row>
    <row r="18" spans="1:29" x14ac:dyDescent="0.35">
      <c r="A18" s="2" t="s">
        <v>58</v>
      </c>
      <c r="B18" s="11">
        <v>0</v>
      </c>
      <c r="C18" s="11">
        <v>20318</v>
      </c>
      <c r="D18" s="11" t="str">
        <f>_xlfn.XLOOKUP(C18,'Dealer Operations'!B:B,'Dealer Operations'!C:C,"Not Found")</f>
        <v>Ontario Hyundai</v>
      </c>
      <c r="E18" s="11" t="str">
        <f>_xlfn.XLOOKUP(C19,'Dealer Operations'!B:B,'Dealer Operations'!D:D,"Not Found")</f>
        <v>Shohei Ohtani</v>
      </c>
      <c r="F18" s="26">
        <f>_xlfn.XLOOKUP(A18,'Dealer Operations'!A:A,'Dealer Operations'!E:E,"Not Found")</f>
        <v>46111</v>
      </c>
      <c r="G18" s="3">
        <v>44</v>
      </c>
      <c r="H18" s="3">
        <v>5</v>
      </c>
      <c r="I18" s="2" t="s">
        <v>31</v>
      </c>
      <c r="J18" s="3">
        <f>_xlfn.XLOOKUP(C18,'Dealer Operations'!B:B,'Dealer Operations'!I:I,"Not Found")</f>
        <v>86</v>
      </c>
      <c r="K18" s="4">
        <f>_xlfn.XLOOKUP(C18,'Dealer Operations'!B:B,'Dealer Operations'!J:J,"Not Found")</f>
        <v>7.4</v>
      </c>
      <c r="L18" s="4">
        <f>_xlfn.XLOOKUP(C18,'Dealer Operations'!B:B,'Dealer Operations'!K:K,"Not Found")</f>
        <v>94</v>
      </c>
      <c r="M18" s="3">
        <v>2</v>
      </c>
      <c r="N18" s="3">
        <v>3</v>
      </c>
      <c r="O18" s="3">
        <v>4</v>
      </c>
      <c r="P18" s="3">
        <v>1</v>
      </c>
      <c r="Q18" s="6">
        <f t="shared" si="0"/>
        <v>1.3</v>
      </c>
      <c r="R18" s="6">
        <f t="shared" si="1"/>
        <v>1.45</v>
      </c>
      <c r="S18" s="6">
        <f t="shared" si="2"/>
        <v>3.25</v>
      </c>
      <c r="T18" s="6">
        <f t="shared" si="3"/>
        <v>1.75</v>
      </c>
      <c r="U18" s="6">
        <f t="shared" si="4"/>
        <v>1</v>
      </c>
      <c r="V18" s="6">
        <f t="shared" si="12"/>
        <v>1.1000000000000001</v>
      </c>
      <c r="W18" s="6">
        <f t="shared" si="5"/>
        <v>1.1000000000000001</v>
      </c>
      <c r="X18" s="6">
        <f t="shared" si="6"/>
        <v>2</v>
      </c>
      <c r="Y18" s="6">
        <f t="shared" si="7"/>
        <v>3.7033749999999999</v>
      </c>
      <c r="Z18" s="6">
        <f t="shared" si="8"/>
        <v>1.0649999999999999</v>
      </c>
      <c r="AA18" s="6">
        <f t="shared" si="9"/>
        <v>7.8881887499999994</v>
      </c>
      <c r="AB18" s="6">
        <f t="shared" si="10"/>
        <v>7.8881887499999994</v>
      </c>
      <c r="AC18" s="7" t="str">
        <f t="shared" si="11"/>
        <v>High escalation risk</v>
      </c>
    </row>
    <row r="19" spans="1:29" x14ac:dyDescent="0.35">
      <c r="A19" s="2" t="s">
        <v>59</v>
      </c>
      <c r="B19" s="11">
        <v>0</v>
      </c>
      <c r="C19" s="11">
        <v>55102</v>
      </c>
      <c r="D19" s="11" t="str">
        <f>_xlfn.XLOOKUP(C19,'Dealer Operations'!B:B,'Dealer Operations'!C:C,"Not Found")</f>
        <v>Riverside Hyundai</v>
      </c>
      <c r="E19" s="11" t="str">
        <f>_xlfn.XLOOKUP(C20,'Dealer Operations'!B:B,'Dealer Operations'!D:D,"Not Found")</f>
        <v>Fred Mercury</v>
      </c>
      <c r="F19" s="26">
        <f>_xlfn.XLOOKUP(A19,'Dealer Operations'!A:A,'Dealer Operations'!E:E,"Not Found")</f>
        <v>46121</v>
      </c>
      <c r="G19" s="3">
        <v>34</v>
      </c>
      <c r="H19" s="3">
        <v>2</v>
      </c>
      <c r="I19" s="2" t="s">
        <v>38</v>
      </c>
      <c r="J19" s="3">
        <f>_xlfn.XLOOKUP(C19,'Dealer Operations'!B:B,'Dealer Operations'!I:I,"Not Found")</f>
        <v>94</v>
      </c>
      <c r="K19" s="4">
        <f>_xlfn.XLOOKUP(C19,'Dealer Operations'!B:B,'Dealer Operations'!J:J,"Not Found")</f>
        <v>8.4</v>
      </c>
      <c r="L19" s="4">
        <f>_xlfn.XLOOKUP(C19,'Dealer Operations'!B:B,'Dealer Operations'!K:K,"Not Found")</f>
        <v>87</v>
      </c>
      <c r="M19" s="3">
        <v>8</v>
      </c>
      <c r="N19" s="3">
        <v>2</v>
      </c>
      <c r="O19" s="3">
        <v>5</v>
      </c>
      <c r="P19" s="3">
        <v>3</v>
      </c>
      <c r="Q19" s="6">
        <f t="shared" si="0"/>
        <v>0.85</v>
      </c>
      <c r="R19" s="6">
        <f t="shared" si="1"/>
        <v>1.1499999999999999</v>
      </c>
      <c r="S19" s="6">
        <f t="shared" si="2"/>
        <v>2.5</v>
      </c>
      <c r="T19" s="6">
        <f t="shared" si="3"/>
        <v>3.75</v>
      </c>
      <c r="U19" s="6">
        <f t="shared" si="4"/>
        <v>1</v>
      </c>
      <c r="V19" s="6">
        <f t="shared" si="12"/>
        <v>1.1000000000000001</v>
      </c>
      <c r="W19" s="6">
        <f t="shared" si="5"/>
        <v>1.1000000000000001</v>
      </c>
      <c r="X19" s="6">
        <f t="shared" si="6"/>
        <v>2</v>
      </c>
      <c r="Y19" s="6">
        <f t="shared" si="7"/>
        <v>3.1349999999999998</v>
      </c>
      <c r="Z19" s="6">
        <f t="shared" si="8"/>
        <v>1.0649999999999999</v>
      </c>
      <c r="AA19" s="6">
        <f t="shared" si="9"/>
        <v>6.6775499999999992</v>
      </c>
      <c r="AB19" s="6">
        <f t="shared" si="10"/>
        <v>6.6775499999999992</v>
      </c>
      <c r="AC19" s="7" t="str">
        <f t="shared" si="11"/>
        <v>High escalation risk</v>
      </c>
    </row>
    <row r="20" spans="1:29" x14ac:dyDescent="0.35">
      <c r="A20" s="2" t="s">
        <v>60</v>
      </c>
      <c r="B20" s="11">
        <v>0</v>
      </c>
      <c r="C20" s="11">
        <v>99214</v>
      </c>
      <c r="D20" s="11" t="str">
        <f>_xlfn.XLOOKUP(C20,'Dealer Operations'!B:B,'Dealer Operations'!C:C,"Not Found")</f>
        <v>Temecula Hyundai</v>
      </c>
      <c r="E20" s="11" t="str">
        <f>_xlfn.XLOOKUP(C21,'Dealer Operations'!B:B,'Dealer Operations'!D:D,"Not Found")</f>
        <v>Fred Mercury</v>
      </c>
      <c r="F20" s="26">
        <f>_xlfn.XLOOKUP(A20,'Dealer Operations'!A:A,'Dealer Operations'!E:E,"Not Found")</f>
        <v>46118</v>
      </c>
      <c r="G20" s="3">
        <v>37</v>
      </c>
      <c r="H20" s="3">
        <v>0</v>
      </c>
      <c r="I20" s="2" t="s">
        <v>38</v>
      </c>
      <c r="J20" s="3">
        <f>_xlfn.XLOOKUP(C20,'Dealer Operations'!B:B,'Dealer Operations'!I:I,"Not Found")</f>
        <v>68</v>
      </c>
      <c r="K20" s="4">
        <f>_xlfn.XLOOKUP(C20,'Dealer Operations'!B:B,'Dealer Operations'!J:J,"Not Found")</f>
        <v>8.4</v>
      </c>
      <c r="L20" s="4">
        <f>_xlfn.XLOOKUP(C20,'Dealer Operations'!B:B,'Dealer Operations'!K:K,"Not Found")</f>
        <v>88</v>
      </c>
      <c r="M20" s="3">
        <v>6</v>
      </c>
      <c r="N20" s="3">
        <v>6</v>
      </c>
      <c r="O20" s="3">
        <v>7</v>
      </c>
      <c r="P20" s="3">
        <v>4</v>
      </c>
      <c r="Q20" s="6">
        <f t="shared" si="0"/>
        <v>0.85</v>
      </c>
      <c r="R20" s="6">
        <f t="shared" si="1"/>
        <v>1</v>
      </c>
      <c r="S20" s="6">
        <f t="shared" si="2"/>
        <v>4</v>
      </c>
      <c r="T20" s="6">
        <f t="shared" si="3"/>
        <v>3.25</v>
      </c>
      <c r="U20" s="6">
        <f t="shared" si="4"/>
        <v>1.25</v>
      </c>
      <c r="V20" s="6">
        <f t="shared" si="12"/>
        <v>1.1000000000000001</v>
      </c>
      <c r="W20" s="6">
        <f t="shared" si="5"/>
        <v>1.1000000000000001</v>
      </c>
      <c r="X20" s="6">
        <f t="shared" si="6"/>
        <v>2</v>
      </c>
      <c r="Y20" s="6">
        <f t="shared" si="7"/>
        <v>3.5057500000000004</v>
      </c>
      <c r="Z20" s="6">
        <f t="shared" si="8"/>
        <v>1.1525000000000001</v>
      </c>
      <c r="AA20" s="6">
        <f t="shared" si="9"/>
        <v>8.0807537500000013</v>
      </c>
      <c r="AB20" s="6">
        <f t="shared" si="10"/>
        <v>8.0807537500000013</v>
      </c>
      <c r="AC20" s="7" t="str">
        <f t="shared" si="11"/>
        <v>High escalation risk</v>
      </c>
    </row>
    <row r="21" spans="1:29" x14ac:dyDescent="0.35">
      <c r="A21" s="2" t="s">
        <v>61</v>
      </c>
      <c r="B21" s="11">
        <v>0</v>
      </c>
      <c r="C21" s="11">
        <v>44117</v>
      </c>
      <c r="D21" s="11" t="str">
        <f>_xlfn.XLOOKUP(C21,'Dealer Operations'!B:B,'Dealer Operations'!C:C,"Not Found")</f>
        <v>Desert Hyundai</v>
      </c>
      <c r="E21" s="11" t="str">
        <f>_xlfn.XLOOKUP(C22,'Dealer Operations'!B:B,'Dealer Operations'!D:D,"Not Found")</f>
        <v>Shohei Ohtani</v>
      </c>
      <c r="F21" s="26">
        <f>_xlfn.XLOOKUP(A21,'Dealer Operations'!A:A,'Dealer Operations'!E:E,"Not Found")</f>
        <v>46111</v>
      </c>
      <c r="G21" s="3">
        <v>44</v>
      </c>
      <c r="H21" s="3">
        <v>0</v>
      </c>
      <c r="I21" s="2" t="s">
        <v>38</v>
      </c>
      <c r="J21" s="3">
        <f>_xlfn.XLOOKUP(C21,'Dealer Operations'!B:B,'Dealer Operations'!I:I,"Not Found")</f>
        <v>58</v>
      </c>
      <c r="K21" s="4">
        <f>_xlfn.XLOOKUP(C21,'Dealer Operations'!B:B,'Dealer Operations'!J:J,"Not Found")</f>
        <v>10.5</v>
      </c>
      <c r="L21" s="4">
        <f>_xlfn.XLOOKUP(C21,'Dealer Operations'!B:B,'Dealer Operations'!K:K,"Not Found")</f>
        <v>49</v>
      </c>
      <c r="M21" s="3">
        <v>10</v>
      </c>
      <c r="N21" s="3">
        <v>2</v>
      </c>
      <c r="O21" s="3">
        <v>11</v>
      </c>
      <c r="P21" s="3">
        <v>1</v>
      </c>
      <c r="Q21" s="6">
        <f t="shared" si="0"/>
        <v>0.85</v>
      </c>
      <c r="R21" s="6">
        <f t="shared" si="1"/>
        <v>1</v>
      </c>
      <c r="S21" s="6">
        <f t="shared" si="2"/>
        <v>2.5</v>
      </c>
      <c r="T21" s="6">
        <f t="shared" si="3"/>
        <v>3.75</v>
      </c>
      <c r="U21" s="6">
        <f t="shared" si="4"/>
        <v>1.35</v>
      </c>
      <c r="V21" s="6">
        <f t="shared" si="12"/>
        <v>1.3</v>
      </c>
      <c r="W21" s="6">
        <f t="shared" si="5"/>
        <v>1.4</v>
      </c>
      <c r="X21" s="6">
        <f t="shared" si="6"/>
        <v>2</v>
      </c>
      <c r="Y21" s="6">
        <f t="shared" si="7"/>
        <v>2.8425000000000002</v>
      </c>
      <c r="Z21" s="6">
        <f t="shared" si="8"/>
        <v>1.3375000000000001</v>
      </c>
      <c r="AA21" s="6">
        <f t="shared" si="9"/>
        <v>7.6036875000000013</v>
      </c>
      <c r="AB21" s="6">
        <f t="shared" si="10"/>
        <v>7.6036875000000013</v>
      </c>
      <c r="AC21" s="7" t="str">
        <f t="shared" si="11"/>
        <v>High escalation risk</v>
      </c>
    </row>
    <row r="22" spans="1:29" x14ac:dyDescent="0.35">
      <c r="A22" s="2" t="s">
        <v>62</v>
      </c>
      <c r="B22" s="11">
        <v>0</v>
      </c>
      <c r="C22" s="11">
        <v>66520</v>
      </c>
      <c r="D22" s="11" t="str">
        <f>_xlfn.XLOOKUP(C22,'Dealer Operations'!B:B,'Dealer Operations'!C:C,"Not Found")</f>
        <v>Hyundai Santa Monica</v>
      </c>
      <c r="E22" s="11" t="str">
        <f>_xlfn.XLOOKUP(C23,'Dealer Operations'!B:B,'Dealer Operations'!D:D,"Not Found")</f>
        <v>Fred Mercury</v>
      </c>
      <c r="F22" s="26">
        <f>_xlfn.XLOOKUP(A22,'Dealer Operations'!A:A,'Dealer Operations'!E:E,"Not Found")</f>
        <v>46112</v>
      </c>
      <c r="G22" s="3">
        <v>43</v>
      </c>
      <c r="H22" s="3">
        <v>2</v>
      </c>
      <c r="I22" s="2" t="s">
        <v>38</v>
      </c>
      <c r="J22" s="3">
        <f>_xlfn.XLOOKUP(C22,'Dealer Operations'!B:B,'Dealer Operations'!I:I,"Not Found")</f>
        <v>82</v>
      </c>
      <c r="K22" s="4">
        <f>_xlfn.XLOOKUP(C22,'Dealer Operations'!B:B,'Dealer Operations'!J:J,"Not Found")</f>
        <v>10.1</v>
      </c>
      <c r="L22" s="4">
        <f>_xlfn.XLOOKUP(C22,'Dealer Operations'!B:B,'Dealer Operations'!K:K,"Not Found")</f>
        <v>56</v>
      </c>
      <c r="M22" s="3">
        <v>10</v>
      </c>
      <c r="N22" s="3">
        <v>2</v>
      </c>
      <c r="O22" s="3">
        <v>10</v>
      </c>
      <c r="P22" s="3">
        <v>1</v>
      </c>
      <c r="Q22" s="6">
        <f t="shared" si="0"/>
        <v>0.85</v>
      </c>
      <c r="R22" s="6">
        <f t="shared" si="1"/>
        <v>1.1499999999999999</v>
      </c>
      <c r="S22" s="6">
        <f t="shared" si="2"/>
        <v>2.5</v>
      </c>
      <c r="T22" s="6">
        <f t="shared" si="3"/>
        <v>3.75</v>
      </c>
      <c r="U22" s="6">
        <f t="shared" si="4"/>
        <v>1.1000000000000001</v>
      </c>
      <c r="V22" s="6">
        <f t="shared" si="12"/>
        <v>1.3</v>
      </c>
      <c r="W22" s="6">
        <f t="shared" si="5"/>
        <v>1.4</v>
      </c>
      <c r="X22" s="6">
        <f t="shared" si="6"/>
        <v>2</v>
      </c>
      <c r="Y22" s="6">
        <f t="shared" si="7"/>
        <v>3.1349999999999998</v>
      </c>
      <c r="Z22" s="6">
        <f t="shared" si="8"/>
        <v>1.25</v>
      </c>
      <c r="AA22" s="6">
        <f t="shared" si="9"/>
        <v>7.8374999999999995</v>
      </c>
      <c r="AB22" s="6">
        <f t="shared" si="10"/>
        <v>7.8374999999999995</v>
      </c>
      <c r="AC22" s="7" t="str">
        <f t="shared" si="11"/>
        <v>High escalation risk</v>
      </c>
    </row>
    <row r="23" spans="1:29" x14ac:dyDescent="0.35">
      <c r="A23" s="2" t="s">
        <v>63</v>
      </c>
      <c r="B23" s="11">
        <v>0</v>
      </c>
      <c r="C23" s="11">
        <v>51244</v>
      </c>
      <c r="D23" s="11" t="str">
        <f>_xlfn.XLOOKUP(C23,'Dealer Operations'!B:B,'Dealer Operations'!C:C,"Not Found")</f>
        <v>Hyundai Long Beach</v>
      </c>
      <c r="E23" s="11" t="str">
        <f>_xlfn.XLOOKUP(C24,'Dealer Operations'!B:B,'Dealer Operations'!D:D,"Not Found")</f>
        <v>Fred Mercury</v>
      </c>
      <c r="F23" s="26">
        <f>_xlfn.XLOOKUP(A23,'Dealer Operations'!A:A,'Dealer Operations'!E:E,"Not Found")</f>
        <v>46119</v>
      </c>
      <c r="G23" s="3">
        <v>36</v>
      </c>
      <c r="H23" s="3">
        <v>0</v>
      </c>
      <c r="I23" s="2" t="s">
        <v>38</v>
      </c>
      <c r="J23" s="3">
        <f>_xlfn.XLOOKUP(C23,'Dealer Operations'!B:B,'Dealer Operations'!I:I,"Not Found")</f>
        <v>82</v>
      </c>
      <c r="K23" s="4">
        <f>_xlfn.XLOOKUP(C23,'Dealer Operations'!B:B,'Dealer Operations'!J:J,"Not Found")</f>
        <v>9.1999999999999993</v>
      </c>
      <c r="L23" s="4">
        <f>_xlfn.XLOOKUP(C23,'Dealer Operations'!B:B,'Dealer Operations'!K:K,"Not Found")</f>
        <v>83</v>
      </c>
      <c r="M23" s="3">
        <v>10</v>
      </c>
      <c r="N23" s="3">
        <v>3</v>
      </c>
      <c r="O23" s="3">
        <v>1</v>
      </c>
      <c r="P23" s="3">
        <v>2</v>
      </c>
      <c r="Q23" s="6">
        <f t="shared" si="0"/>
        <v>0.85</v>
      </c>
      <c r="R23" s="6">
        <f t="shared" si="1"/>
        <v>1</v>
      </c>
      <c r="S23" s="6">
        <f t="shared" si="2"/>
        <v>3.25</v>
      </c>
      <c r="T23" s="6">
        <f t="shared" si="3"/>
        <v>3.75</v>
      </c>
      <c r="U23" s="6">
        <f t="shared" si="4"/>
        <v>1.1000000000000001</v>
      </c>
      <c r="V23" s="6">
        <f t="shared" si="12"/>
        <v>1.1000000000000001</v>
      </c>
      <c r="W23" s="6">
        <f t="shared" si="5"/>
        <v>1.2</v>
      </c>
      <c r="X23" s="6">
        <f t="shared" si="6"/>
        <v>2</v>
      </c>
      <c r="Y23" s="6">
        <f t="shared" si="7"/>
        <v>3.2688750000000004</v>
      </c>
      <c r="Z23" s="6">
        <f t="shared" si="8"/>
        <v>1.1200000000000001</v>
      </c>
      <c r="AA23" s="6">
        <f t="shared" si="9"/>
        <v>7.3222800000000019</v>
      </c>
      <c r="AB23" s="6">
        <f t="shared" si="10"/>
        <v>7.3222800000000019</v>
      </c>
      <c r="AC23" s="7" t="str">
        <f t="shared" si="11"/>
        <v>High escalation risk</v>
      </c>
    </row>
    <row r="24" spans="1:29" x14ac:dyDescent="0.35">
      <c r="A24" s="2" t="s">
        <v>64</v>
      </c>
      <c r="B24" s="11">
        <v>0</v>
      </c>
      <c r="C24" s="11">
        <v>99214</v>
      </c>
      <c r="D24" s="11" t="str">
        <f>_xlfn.XLOOKUP(C24,'Dealer Operations'!B:B,'Dealer Operations'!C:C,"Not Found")</f>
        <v>Temecula Hyundai</v>
      </c>
      <c r="E24" s="11" t="str">
        <f>_xlfn.XLOOKUP(C25,'Dealer Operations'!B:B,'Dealer Operations'!D:D,"Not Found")</f>
        <v>Shohei Ohtani</v>
      </c>
      <c r="F24" s="26">
        <f>_xlfn.XLOOKUP(A24,'Dealer Operations'!A:A,'Dealer Operations'!E:E,"Not Found")</f>
        <v>46112</v>
      </c>
      <c r="G24" s="3">
        <v>43</v>
      </c>
      <c r="H24" s="3">
        <v>1</v>
      </c>
      <c r="I24" s="2" t="s">
        <v>31</v>
      </c>
      <c r="J24" s="3">
        <f>_xlfn.XLOOKUP(C24,'Dealer Operations'!B:B,'Dealer Operations'!I:I,"Not Found")</f>
        <v>68</v>
      </c>
      <c r="K24" s="4">
        <f>_xlfn.XLOOKUP(C24,'Dealer Operations'!B:B,'Dealer Operations'!J:J,"Not Found")</f>
        <v>8.4</v>
      </c>
      <c r="L24" s="4">
        <f>_xlfn.XLOOKUP(C24,'Dealer Operations'!B:B,'Dealer Operations'!K:K,"Not Found")</f>
        <v>88</v>
      </c>
      <c r="M24" s="3">
        <v>3</v>
      </c>
      <c r="N24" s="3">
        <v>6</v>
      </c>
      <c r="O24" s="3">
        <v>7</v>
      </c>
      <c r="P24" s="3">
        <v>2</v>
      </c>
      <c r="Q24" s="6">
        <f t="shared" si="0"/>
        <v>1.3</v>
      </c>
      <c r="R24" s="6">
        <f t="shared" si="1"/>
        <v>1</v>
      </c>
      <c r="S24" s="6">
        <f t="shared" si="2"/>
        <v>4</v>
      </c>
      <c r="T24" s="6">
        <f t="shared" si="3"/>
        <v>1.75</v>
      </c>
      <c r="U24" s="6">
        <f t="shared" si="4"/>
        <v>1.25</v>
      </c>
      <c r="V24" s="6">
        <f t="shared" si="12"/>
        <v>1.1000000000000001</v>
      </c>
      <c r="W24" s="6">
        <f t="shared" si="5"/>
        <v>1.1000000000000001</v>
      </c>
      <c r="X24" s="6">
        <f t="shared" si="6"/>
        <v>2</v>
      </c>
      <c r="Y24" s="6">
        <f t="shared" si="7"/>
        <v>3.4255</v>
      </c>
      <c r="Z24" s="6">
        <f t="shared" si="8"/>
        <v>1.1525000000000001</v>
      </c>
      <c r="AA24" s="6">
        <f t="shared" si="9"/>
        <v>7.8957775000000003</v>
      </c>
      <c r="AB24" s="6">
        <f t="shared" si="10"/>
        <v>7.8957775000000003</v>
      </c>
      <c r="AC24" s="7" t="str">
        <f t="shared" si="11"/>
        <v>High escalation risk</v>
      </c>
    </row>
    <row r="25" spans="1:29" x14ac:dyDescent="0.35">
      <c r="A25" s="2" t="s">
        <v>65</v>
      </c>
      <c r="B25" s="11">
        <v>0</v>
      </c>
      <c r="C25" s="11">
        <v>66520</v>
      </c>
      <c r="D25" s="11" t="str">
        <f>_xlfn.XLOOKUP(C25,'Dealer Operations'!B:B,'Dealer Operations'!C:C,"Not Found")</f>
        <v>Hyundai Santa Monica</v>
      </c>
      <c r="E25" s="11" t="str">
        <f>_xlfn.XLOOKUP(C26,'Dealer Operations'!B:B,'Dealer Operations'!D:D,"Not Found")</f>
        <v>Shohei Ohtani</v>
      </c>
      <c r="F25" s="26">
        <f>_xlfn.XLOOKUP(A25,'Dealer Operations'!A:A,'Dealer Operations'!E:E,"Not Found")</f>
        <v>46132</v>
      </c>
      <c r="G25" s="3">
        <v>23</v>
      </c>
      <c r="H25" s="3">
        <v>0</v>
      </c>
      <c r="I25" s="2" t="s">
        <v>38</v>
      </c>
      <c r="J25" s="3">
        <f>_xlfn.XLOOKUP(C25,'Dealer Operations'!B:B,'Dealer Operations'!I:I,"Not Found")</f>
        <v>82</v>
      </c>
      <c r="K25" s="4">
        <f>_xlfn.XLOOKUP(C25,'Dealer Operations'!B:B,'Dealer Operations'!J:J,"Not Found")</f>
        <v>10.1</v>
      </c>
      <c r="L25" s="4">
        <f>_xlfn.XLOOKUP(C25,'Dealer Operations'!B:B,'Dealer Operations'!K:K,"Not Found")</f>
        <v>56</v>
      </c>
      <c r="M25" s="3">
        <v>6</v>
      </c>
      <c r="N25" s="3">
        <v>7</v>
      </c>
      <c r="O25" s="3">
        <v>1</v>
      </c>
      <c r="P25" s="3">
        <v>1</v>
      </c>
      <c r="Q25" s="6">
        <f t="shared" si="0"/>
        <v>0.85</v>
      </c>
      <c r="R25" s="6">
        <f t="shared" si="1"/>
        <v>1</v>
      </c>
      <c r="S25" s="6">
        <f t="shared" si="2"/>
        <v>4</v>
      </c>
      <c r="T25" s="6">
        <f t="shared" si="3"/>
        <v>3.25</v>
      </c>
      <c r="U25" s="6">
        <f t="shared" si="4"/>
        <v>1.1000000000000001</v>
      </c>
      <c r="V25" s="6">
        <f t="shared" si="12"/>
        <v>1.3</v>
      </c>
      <c r="W25" s="6">
        <f t="shared" si="5"/>
        <v>1.4</v>
      </c>
      <c r="X25" s="6">
        <f t="shared" si="6"/>
        <v>1.5</v>
      </c>
      <c r="Y25" s="6">
        <f t="shared" si="7"/>
        <v>3.5057500000000004</v>
      </c>
      <c r="Z25" s="6">
        <f t="shared" si="8"/>
        <v>1.25</v>
      </c>
      <c r="AA25" s="6">
        <f t="shared" si="9"/>
        <v>6.5732812500000009</v>
      </c>
      <c r="AB25" s="6">
        <f t="shared" si="10"/>
        <v>6.5732812500000009</v>
      </c>
      <c r="AC25" s="7" t="str">
        <f t="shared" si="11"/>
        <v>High escalation risk</v>
      </c>
    </row>
    <row r="26" spans="1:29" x14ac:dyDescent="0.35">
      <c r="A26" s="2" t="s">
        <v>66</v>
      </c>
      <c r="B26" s="11">
        <v>0</v>
      </c>
      <c r="C26" s="11">
        <v>81773</v>
      </c>
      <c r="D26" s="11" t="str">
        <f>_xlfn.XLOOKUP(C26,'Dealer Operations'!B:B,'Dealer Operations'!C:C,"Not Found")</f>
        <v>Hyundai San Diego</v>
      </c>
      <c r="E26" s="11" t="str">
        <f>_xlfn.XLOOKUP(C27,'Dealer Operations'!B:B,'Dealer Operations'!D:D,"Not Found")</f>
        <v>Fred Mercury</v>
      </c>
      <c r="F26" s="26">
        <f>_xlfn.XLOOKUP(A26,'Dealer Operations'!A:A,'Dealer Operations'!E:E,"Not Found")</f>
        <v>46126</v>
      </c>
      <c r="G26" s="3">
        <v>29</v>
      </c>
      <c r="H26" s="3">
        <v>0</v>
      </c>
      <c r="I26" s="2" t="s">
        <v>29</v>
      </c>
      <c r="J26" s="3">
        <f>_xlfn.XLOOKUP(C26,'Dealer Operations'!B:B,'Dealer Operations'!I:I,"Not Found")</f>
        <v>68</v>
      </c>
      <c r="K26" s="4">
        <f>_xlfn.XLOOKUP(C26,'Dealer Operations'!B:B,'Dealer Operations'!J:J,"Not Found")</f>
        <v>9.3000000000000007</v>
      </c>
      <c r="L26" s="4">
        <f>_xlfn.XLOOKUP(C26,'Dealer Operations'!B:B,'Dealer Operations'!K:K,"Not Found")</f>
        <v>55</v>
      </c>
      <c r="M26" s="3">
        <v>0</v>
      </c>
      <c r="N26" s="3">
        <v>6</v>
      </c>
      <c r="O26" s="3">
        <v>11</v>
      </c>
      <c r="P26" s="3">
        <v>3</v>
      </c>
      <c r="Q26" s="6">
        <f t="shared" si="0"/>
        <v>1.6</v>
      </c>
      <c r="R26" s="6">
        <f t="shared" si="1"/>
        <v>1</v>
      </c>
      <c r="S26" s="6">
        <f t="shared" si="2"/>
        <v>4</v>
      </c>
      <c r="T26" s="6">
        <f t="shared" si="3"/>
        <v>1</v>
      </c>
      <c r="U26" s="6">
        <f t="shared" si="4"/>
        <v>1.25</v>
      </c>
      <c r="V26" s="6">
        <f t="shared" si="12"/>
        <v>1.1000000000000001</v>
      </c>
      <c r="W26" s="6">
        <f t="shared" si="5"/>
        <v>1.4</v>
      </c>
      <c r="X26" s="6">
        <f t="shared" si="6"/>
        <v>1.5</v>
      </c>
      <c r="Y26" s="6">
        <f t="shared" si="7"/>
        <v>3.3879999999999999</v>
      </c>
      <c r="Z26" s="6">
        <f t="shared" si="8"/>
        <v>1.2125000000000001</v>
      </c>
      <c r="AA26" s="6">
        <f t="shared" si="9"/>
        <v>6.161925000000001</v>
      </c>
      <c r="AB26" s="6">
        <f t="shared" si="10"/>
        <v>6.161925000000001</v>
      </c>
      <c r="AC26" s="7" t="str">
        <f t="shared" si="11"/>
        <v>High escalation risk</v>
      </c>
    </row>
    <row r="27" spans="1:29" x14ac:dyDescent="0.35">
      <c r="A27" s="2" t="s">
        <v>67</v>
      </c>
      <c r="B27" s="11">
        <v>0</v>
      </c>
      <c r="C27" s="11">
        <v>44117</v>
      </c>
      <c r="D27" s="11" t="str">
        <f>_xlfn.XLOOKUP(C27,'Dealer Operations'!B:B,'Dealer Operations'!C:C,"Not Found")</f>
        <v>Desert Hyundai</v>
      </c>
      <c r="E27" s="11" t="str">
        <f>_xlfn.XLOOKUP(C28,'Dealer Operations'!B:B,'Dealer Operations'!D:D,"Not Found")</f>
        <v>Shohei Ohtani</v>
      </c>
      <c r="F27" s="26">
        <f>_xlfn.XLOOKUP(A27,'Dealer Operations'!A:A,'Dealer Operations'!E:E,"Not Found")</f>
        <v>46139</v>
      </c>
      <c r="G27" s="3">
        <v>16</v>
      </c>
      <c r="H27" s="3">
        <v>2</v>
      </c>
      <c r="I27" s="2" t="s">
        <v>38</v>
      </c>
      <c r="J27" s="3">
        <f>_xlfn.XLOOKUP(C27,'Dealer Operations'!B:B,'Dealer Operations'!I:I,"Not Found")</f>
        <v>58</v>
      </c>
      <c r="K27" s="4">
        <f>_xlfn.XLOOKUP(C27,'Dealer Operations'!B:B,'Dealer Operations'!J:J,"Not Found")</f>
        <v>10.5</v>
      </c>
      <c r="L27" s="4">
        <f>_xlfn.XLOOKUP(C27,'Dealer Operations'!B:B,'Dealer Operations'!K:K,"Not Found")</f>
        <v>49</v>
      </c>
      <c r="M27" s="3">
        <v>8</v>
      </c>
      <c r="N27" s="3">
        <v>4</v>
      </c>
      <c r="O27" s="3">
        <v>4</v>
      </c>
      <c r="P27" s="3">
        <v>0</v>
      </c>
      <c r="Q27" s="6">
        <f t="shared" si="0"/>
        <v>0.85</v>
      </c>
      <c r="R27" s="6">
        <f t="shared" si="1"/>
        <v>1.1499999999999999</v>
      </c>
      <c r="S27" s="6">
        <f t="shared" si="2"/>
        <v>4</v>
      </c>
      <c r="T27" s="6">
        <f t="shared" si="3"/>
        <v>3.75</v>
      </c>
      <c r="U27" s="6">
        <f t="shared" si="4"/>
        <v>1.35</v>
      </c>
      <c r="V27" s="6">
        <f t="shared" si="12"/>
        <v>1.3</v>
      </c>
      <c r="W27" s="6">
        <f t="shared" si="5"/>
        <v>1.4</v>
      </c>
      <c r="X27" s="6">
        <f t="shared" si="6"/>
        <v>1.25</v>
      </c>
      <c r="Y27" s="6">
        <f t="shared" si="7"/>
        <v>4.0754999999999999</v>
      </c>
      <c r="Z27" s="6">
        <f t="shared" si="8"/>
        <v>1.3375000000000001</v>
      </c>
      <c r="AA27" s="6">
        <f t="shared" si="9"/>
        <v>6.8137265625000012</v>
      </c>
      <c r="AB27" s="6">
        <f t="shared" si="10"/>
        <v>6.8137265625000012</v>
      </c>
      <c r="AC27" s="7" t="str">
        <f t="shared" si="11"/>
        <v>High escalation risk</v>
      </c>
    </row>
    <row r="28" spans="1:29" x14ac:dyDescent="0.35">
      <c r="A28" s="2" t="s">
        <v>68</v>
      </c>
      <c r="B28" s="11">
        <v>0</v>
      </c>
      <c r="C28" s="11">
        <v>39018</v>
      </c>
      <c r="D28" s="11" t="str">
        <f>_xlfn.XLOOKUP(C28,'Dealer Operations'!B:B,'Dealer Operations'!C:C,"Not Found")</f>
        <v>Huntington Beach Hyundai</v>
      </c>
      <c r="E28" s="11" t="str">
        <f>_xlfn.XLOOKUP(C29,'Dealer Operations'!B:B,'Dealer Operations'!D:D,"Not Found")</f>
        <v>Fred Mercury</v>
      </c>
      <c r="F28" s="26">
        <f>_xlfn.XLOOKUP(A28,'Dealer Operations'!A:A,'Dealer Operations'!E:E,"Not Found")</f>
        <v>46135</v>
      </c>
      <c r="G28" s="3">
        <v>20</v>
      </c>
      <c r="H28" s="3">
        <v>5</v>
      </c>
      <c r="I28" s="2" t="s">
        <v>31</v>
      </c>
      <c r="J28" s="3">
        <f>_xlfn.XLOOKUP(C28,'Dealer Operations'!B:B,'Dealer Operations'!I:I,"Not Found")</f>
        <v>73</v>
      </c>
      <c r="K28" s="4">
        <f>_xlfn.XLOOKUP(C28,'Dealer Operations'!B:B,'Dealer Operations'!J:J,"Not Found")</f>
        <v>9.9</v>
      </c>
      <c r="L28" s="4">
        <f>_xlfn.XLOOKUP(C28,'Dealer Operations'!B:B,'Dealer Operations'!K:K,"Not Found")</f>
        <v>79</v>
      </c>
      <c r="M28" s="3">
        <v>2</v>
      </c>
      <c r="N28" s="3">
        <v>7</v>
      </c>
      <c r="O28" s="3">
        <v>3</v>
      </c>
      <c r="P28" s="3">
        <v>0</v>
      </c>
      <c r="Q28" s="6">
        <f t="shared" si="0"/>
        <v>1.3</v>
      </c>
      <c r="R28" s="6">
        <f t="shared" si="1"/>
        <v>1.45</v>
      </c>
      <c r="S28" s="6">
        <f t="shared" si="2"/>
        <v>4</v>
      </c>
      <c r="T28" s="6">
        <f t="shared" si="3"/>
        <v>1.75</v>
      </c>
      <c r="U28" s="6">
        <f t="shared" si="4"/>
        <v>1.25</v>
      </c>
      <c r="V28" s="6">
        <f t="shared" si="12"/>
        <v>1.1000000000000001</v>
      </c>
      <c r="W28" s="6">
        <f t="shared" si="5"/>
        <v>1.2</v>
      </c>
      <c r="X28" s="6">
        <f t="shared" si="6"/>
        <v>1.25</v>
      </c>
      <c r="Y28" s="6">
        <f t="shared" si="7"/>
        <v>4.3322500000000002</v>
      </c>
      <c r="Z28" s="6">
        <f t="shared" si="8"/>
        <v>1.1725000000000001</v>
      </c>
      <c r="AA28" s="6">
        <f t="shared" si="9"/>
        <v>6.3494539062500008</v>
      </c>
      <c r="AB28" s="6">
        <f t="shared" si="10"/>
        <v>6.3494539062500008</v>
      </c>
      <c r="AC28" s="7" t="str">
        <f t="shared" si="11"/>
        <v>High escalation risk</v>
      </c>
    </row>
    <row r="29" spans="1:29" x14ac:dyDescent="0.35">
      <c r="A29" s="2" t="s">
        <v>69</v>
      </c>
      <c r="B29" s="11">
        <v>0</v>
      </c>
      <c r="C29" s="11">
        <v>11425</v>
      </c>
      <c r="D29" s="11" t="str">
        <f>_xlfn.XLOOKUP(C29,'Dealer Operations'!B:B,'Dealer Operations'!C:C,"Not Found")</f>
        <v>Keyes Hyundai</v>
      </c>
      <c r="E29" s="11" t="str">
        <f>_xlfn.XLOOKUP(C30,'Dealer Operations'!B:B,'Dealer Operations'!D:D,"Not Found")</f>
        <v>Shohei Ohtani</v>
      </c>
      <c r="F29" s="26">
        <f>_xlfn.XLOOKUP(A29,'Dealer Operations'!A:A,'Dealer Operations'!E:E,"Not Found")</f>
        <v>46111</v>
      </c>
      <c r="G29" s="3">
        <v>44</v>
      </c>
      <c r="H29" s="3">
        <v>1</v>
      </c>
      <c r="I29" s="2" t="s">
        <v>31</v>
      </c>
      <c r="J29" s="3">
        <f>_xlfn.XLOOKUP(C29,'Dealer Operations'!B:B,'Dealer Operations'!I:I,"Not Found")</f>
        <v>86</v>
      </c>
      <c r="K29" s="4">
        <f>_xlfn.XLOOKUP(C29,'Dealer Operations'!B:B,'Dealer Operations'!J:J,"Not Found")</f>
        <v>6.8</v>
      </c>
      <c r="L29" s="4">
        <f>_xlfn.XLOOKUP(C29,'Dealer Operations'!B:B,'Dealer Operations'!K:K,"Not Found")</f>
        <v>89</v>
      </c>
      <c r="M29" s="3">
        <v>0</v>
      </c>
      <c r="N29" s="3">
        <v>4</v>
      </c>
      <c r="O29" s="3">
        <v>9</v>
      </c>
      <c r="P29" s="3">
        <v>0</v>
      </c>
      <c r="Q29" s="6">
        <f t="shared" si="0"/>
        <v>1.3</v>
      </c>
      <c r="R29" s="6">
        <f t="shared" si="1"/>
        <v>1</v>
      </c>
      <c r="S29" s="6">
        <f t="shared" si="2"/>
        <v>4</v>
      </c>
      <c r="T29" s="6">
        <f t="shared" si="3"/>
        <v>1</v>
      </c>
      <c r="U29" s="6">
        <f t="shared" si="4"/>
        <v>1</v>
      </c>
      <c r="V29" s="6">
        <f t="shared" si="12"/>
        <v>1.1000000000000001</v>
      </c>
      <c r="W29" s="6">
        <f t="shared" si="5"/>
        <v>1.1000000000000001</v>
      </c>
      <c r="X29" s="6">
        <f t="shared" si="6"/>
        <v>2</v>
      </c>
      <c r="Y29" s="6">
        <f t="shared" si="7"/>
        <v>3.0939999999999999</v>
      </c>
      <c r="Z29" s="6">
        <f t="shared" si="8"/>
        <v>1.0649999999999999</v>
      </c>
      <c r="AA29" s="6">
        <f t="shared" si="9"/>
        <v>6.5902199999999995</v>
      </c>
      <c r="AB29" s="6">
        <f t="shared" si="10"/>
        <v>6.5902199999999995</v>
      </c>
      <c r="AC29" s="7" t="str">
        <f t="shared" si="11"/>
        <v>High escalation risk</v>
      </c>
    </row>
    <row r="30" spans="1:29" x14ac:dyDescent="0.35">
      <c r="A30" s="2" t="s">
        <v>70</v>
      </c>
      <c r="B30" s="11">
        <v>0</v>
      </c>
      <c r="C30" s="11">
        <v>20318</v>
      </c>
      <c r="D30" s="11" t="str">
        <f>_xlfn.XLOOKUP(C30,'Dealer Operations'!B:B,'Dealer Operations'!C:C,"Not Found")</f>
        <v>Ontario Hyundai</v>
      </c>
      <c r="E30" s="11" t="str">
        <f>_xlfn.XLOOKUP(C31,'Dealer Operations'!B:B,'Dealer Operations'!D:D,"Not Found")</f>
        <v>Fred Mercury</v>
      </c>
      <c r="F30" s="26">
        <f>_xlfn.XLOOKUP(A30,'Dealer Operations'!A:A,'Dealer Operations'!E:E,"Not Found")</f>
        <v>46121</v>
      </c>
      <c r="G30" s="3">
        <v>34</v>
      </c>
      <c r="H30" s="3">
        <v>2</v>
      </c>
      <c r="I30" s="2" t="s">
        <v>31</v>
      </c>
      <c r="J30" s="3">
        <f>_xlfn.XLOOKUP(C30,'Dealer Operations'!B:B,'Dealer Operations'!I:I,"Not Found")</f>
        <v>86</v>
      </c>
      <c r="K30" s="4">
        <f>_xlfn.XLOOKUP(C30,'Dealer Operations'!B:B,'Dealer Operations'!J:J,"Not Found")</f>
        <v>7.4</v>
      </c>
      <c r="L30" s="4">
        <f>_xlfn.XLOOKUP(C30,'Dealer Operations'!B:B,'Dealer Operations'!K:K,"Not Found")</f>
        <v>94</v>
      </c>
      <c r="M30" s="3">
        <v>0</v>
      </c>
      <c r="N30" s="3">
        <v>6</v>
      </c>
      <c r="O30" s="3">
        <v>1</v>
      </c>
      <c r="P30" s="3">
        <v>0</v>
      </c>
      <c r="Q30" s="6">
        <f t="shared" si="0"/>
        <v>1.3</v>
      </c>
      <c r="R30" s="6">
        <f t="shared" si="1"/>
        <v>1.1499999999999999</v>
      </c>
      <c r="S30" s="6">
        <f t="shared" si="2"/>
        <v>4</v>
      </c>
      <c r="T30" s="6">
        <f t="shared" si="3"/>
        <v>1</v>
      </c>
      <c r="U30" s="6">
        <f t="shared" si="4"/>
        <v>1</v>
      </c>
      <c r="V30" s="6">
        <f t="shared" si="12"/>
        <v>1.1000000000000001</v>
      </c>
      <c r="W30" s="6">
        <f t="shared" si="5"/>
        <v>1.1000000000000001</v>
      </c>
      <c r="X30" s="6">
        <f t="shared" si="6"/>
        <v>2</v>
      </c>
      <c r="Y30" s="6">
        <f t="shared" si="7"/>
        <v>3.3669999999999995</v>
      </c>
      <c r="Z30" s="6">
        <f t="shared" si="8"/>
        <v>1.0649999999999999</v>
      </c>
      <c r="AA30" s="6">
        <f t="shared" si="9"/>
        <v>7.1717099999999983</v>
      </c>
      <c r="AB30" s="6">
        <f t="shared" si="10"/>
        <v>7.1717099999999983</v>
      </c>
      <c r="AC30" s="7" t="str">
        <f t="shared" si="11"/>
        <v>High escalation risk</v>
      </c>
    </row>
    <row r="31" spans="1:29" x14ac:dyDescent="0.35">
      <c r="A31" s="2" t="s">
        <v>71</v>
      </c>
      <c r="B31" s="11">
        <v>0</v>
      </c>
      <c r="C31" s="11">
        <v>51244</v>
      </c>
      <c r="D31" s="11" t="str">
        <f>_xlfn.XLOOKUP(C31,'Dealer Operations'!B:B,'Dealer Operations'!C:C,"Not Found")</f>
        <v>Hyundai Long Beach</v>
      </c>
      <c r="E31" s="11" t="str">
        <f>_xlfn.XLOOKUP(C32,'Dealer Operations'!B:B,'Dealer Operations'!D:D,"Not Found")</f>
        <v>Shohei Ohtani</v>
      </c>
      <c r="F31" s="26">
        <f>_xlfn.XLOOKUP(A31,'Dealer Operations'!A:A,'Dealer Operations'!E:E,"Not Found")</f>
        <v>46139</v>
      </c>
      <c r="G31" s="3">
        <v>16</v>
      </c>
      <c r="H31" s="3">
        <v>4</v>
      </c>
      <c r="I31" s="2" t="s">
        <v>38</v>
      </c>
      <c r="J31" s="3">
        <f>_xlfn.XLOOKUP(C31,'Dealer Operations'!B:B,'Dealer Operations'!I:I,"Not Found")</f>
        <v>82</v>
      </c>
      <c r="K31" s="4">
        <f>_xlfn.XLOOKUP(C31,'Dealer Operations'!B:B,'Dealer Operations'!J:J,"Not Found")</f>
        <v>9.1999999999999993</v>
      </c>
      <c r="L31" s="4">
        <f>_xlfn.XLOOKUP(C31,'Dealer Operations'!B:B,'Dealer Operations'!K:K,"Not Found")</f>
        <v>83</v>
      </c>
      <c r="M31" s="3">
        <v>6</v>
      </c>
      <c r="N31" s="3">
        <v>7</v>
      </c>
      <c r="O31" s="3">
        <v>9</v>
      </c>
      <c r="P31" s="3">
        <v>1</v>
      </c>
      <c r="Q31" s="6">
        <f t="shared" si="0"/>
        <v>0.85</v>
      </c>
      <c r="R31" s="6">
        <f t="shared" si="1"/>
        <v>1.45</v>
      </c>
      <c r="S31" s="6">
        <f t="shared" si="2"/>
        <v>4</v>
      </c>
      <c r="T31" s="6">
        <f t="shared" si="3"/>
        <v>3.25</v>
      </c>
      <c r="U31" s="6">
        <f t="shared" si="4"/>
        <v>1.1000000000000001</v>
      </c>
      <c r="V31" s="6">
        <f t="shared" si="12"/>
        <v>1.1000000000000001</v>
      </c>
      <c r="W31" s="6">
        <f t="shared" si="5"/>
        <v>1.2</v>
      </c>
      <c r="X31" s="6">
        <f t="shared" si="6"/>
        <v>1.25</v>
      </c>
      <c r="Y31" s="6">
        <f t="shared" si="7"/>
        <v>4.5880000000000001</v>
      </c>
      <c r="Z31" s="6">
        <f t="shared" si="8"/>
        <v>1.1200000000000001</v>
      </c>
      <c r="AA31" s="6">
        <f t="shared" si="9"/>
        <v>6.4232000000000014</v>
      </c>
      <c r="AB31" s="6">
        <f t="shared" si="10"/>
        <v>6.4232000000000014</v>
      </c>
      <c r="AC31" s="7" t="str">
        <f t="shared" si="11"/>
        <v>High escalation risk</v>
      </c>
    </row>
    <row r="32" spans="1:29" x14ac:dyDescent="0.35">
      <c r="A32" s="2" t="s">
        <v>72</v>
      </c>
      <c r="B32" s="11">
        <v>0</v>
      </c>
      <c r="C32" s="11">
        <v>39018</v>
      </c>
      <c r="D32" s="11" t="str">
        <f>_xlfn.XLOOKUP(C32,'Dealer Operations'!B:B,'Dealer Operations'!C:C,"Not Found")</f>
        <v>Huntington Beach Hyundai</v>
      </c>
      <c r="E32" s="11" t="str">
        <f>_xlfn.XLOOKUP(C33,'Dealer Operations'!B:B,'Dealer Operations'!D:D,"Not Found")</f>
        <v>Shohei Ohtani</v>
      </c>
      <c r="F32" s="26">
        <f>_xlfn.XLOOKUP(A32,'Dealer Operations'!A:A,'Dealer Operations'!E:E,"Not Found")</f>
        <v>46107</v>
      </c>
      <c r="G32" s="3">
        <v>48</v>
      </c>
      <c r="H32" s="3">
        <v>5</v>
      </c>
      <c r="I32" s="2" t="s">
        <v>38</v>
      </c>
      <c r="J32" s="3">
        <f>_xlfn.XLOOKUP(C32,'Dealer Operations'!B:B,'Dealer Operations'!I:I,"Not Found")</f>
        <v>73</v>
      </c>
      <c r="K32" s="4">
        <f>_xlfn.XLOOKUP(C32,'Dealer Operations'!B:B,'Dealer Operations'!J:J,"Not Found")</f>
        <v>9.9</v>
      </c>
      <c r="L32" s="4">
        <f>_xlfn.XLOOKUP(C32,'Dealer Operations'!B:B,'Dealer Operations'!K:K,"Not Found")</f>
        <v>79</v>
      </c>
      <c r="M32" s="3">
        <v>6</v>
      </c>
      <c r="N32" s="3">
        <v>1</v>
      </c>
      <c r="O32" s="3">
        <v>4</v>
      </c>
      <c r="P32" s="3">
        <v>3</v>
      </c>
      <c r="Q32" s="6">
        <f t="shared" si="0"/>
        <v>0.85</v>
      </c>
      <c r="R32" s="6">
        <f t="shared" si="1"/>
        <v>1.45</v>
      </c>
      <c r="S32" s="6">
        <f t="shared" si="2"/>
        <v>1.75</v>
      </c>
      <c r="T32" s="6">
        <f t="shared" si="3"/>
        <v>3.25</v>
      </c>
      <c r="U32" s="6">
        <f t="shared" si="4"/>
        <v>1.25</v>
      </c>
      <c r="V32" s="6">
        <f t="shared" si="12"/>
        <v>1.1000000000000001</v>
      </c>
      <c r="W32" s="6">
        <f t="shared" si="5"/>
        <v>1.2</v>
      </c>
      <c r="X32" s="6">
        <f t="shared" si="6"/>
        <v>2</v>
      </c>
      <c r="Y32" s="6">
        <f t="shared" si="7"/>
        <v>2.9140000000000001</v>
      </c>
      <c r="Z32" s="6">
        <f t="shared" si="8"/>
        <v>1.1725000000000001</v>
      </c>
      <c r="AA32" s="6">
        <f t="shared" si="9"/>
        <v>6.833330000000001</v>
      </c>
      <c r="AB32" s="6">
        <f t="shared" si="10"/>
        <v>6.833330000000001</v>
      </c>
      <c r="AC32" s="7" t="str">
        <f t="shared" si="11"/>
        <v>High escalation risk</v>
      </c>
    </row>
    <row r="33" spans="1:29" x14ac:dyDescent="0.35">
      <c r="A33" s="2" t="s">
        <v>73</v>
      </c>
      <c r="B33" s="11">
        <v>0</v>
      </c>
      <c r="C33" s="11">
        <v>66520</v>
      </c>
      <c r="D33" s="11" t="str">
        <f>_xlfn.XLOOKUP(C33,'Dealer Operations'!B:B,'Dealer Operations'!C:C,"Not Found")</f>
        <v>Hyundai Santa Monica</v>
      </c>
      <c r="E33" s="11" t="str">
        <f>_xlfn.XLOOKUP(C34,'Dealer Operations'!B:B,'Dealer Operations'!D:D,"Not Found")</f>
        <v>Shohei Ohtani</v>
      </c>
      <c r="F33" s="26">
        <f>_xlfn.XLOOKUP(A33,'Dealer Operations'!A:A,'Dealer Operations'!E:E,"Not Found")</f>
        <v>46126</v>
      </c>
      <c r="G33" s="3">
        <v>29</v>
      </c>
      <c r="H33" s="3">
        <v>0</v>
      </c>
      <c r="I33" s="2" t="s">
        <v>29</v>
      </c>
      <c r="J33" s="3">
        <f>_xlfn.XLOOKUP(C33,'Dealer Operations'!B:B,'Dealer Operations'!I:I,"Not Found")</f>
        <v>82</v>
      </c>
      <c r="K33" s="4">
        <f>_xlfn.XLOOKUP(C33,'Dealer Operations'!B:B,'Dealer Operations'!J:J,"Not Found")</f>
        <v>10.1</v>
      </c>
      <c r="L33" s="4">
        <f>_xlfn.XLOOKUP(C33,'Dealer Operations'!B:B,'Dealer Operations'!K:K,"Not Found")</f>
        <v>56</v>
      </c>
      <c r="M33" s="3">
        <v>3</v>
      </c>
      <c r="N33" s="3">
        <v>5</v>
      </c>
      <c r="O33" s="3">
        <v>9</v>
      </c>
      <c r="P33" s="3">
        <v>4</v>
      </c>
      <c r="Q33" s="6">
        <f t="shared" si="0"/>
        <v>1.6</v>
      </c>
      <c r="R33" s="6">
        <f t="shared" si="1"/>
        <v>1</v>
      </c>
      <c r="S33" s="6">
        <f t="shared" si="2"/>
        <v>4</v>
      </c>
      <c r="T33" s="6">
        <f t="shared" si="3"/>
        <v>1.75</v>
      </c>
      <c r="U33" s="6">
        <f t="shared" si="4"/>
        <v>1.1000000000000001</v>
      </c>
      <c r="V33" s="6">
        <f t="shared" si="12"/>
        <v>1.3</v>
      </c>
      <c r="W33" s="6">
        <f t="shared" si="5"/>
        <v>1.4</v>
      </c>
      <c r="X33" s="6">
        <f t="shared" si="6"/>
        <v>1.5</v>
      </c>
      <c r="Y33" s="6">
        <f t="shared" si="7"/>
        <v>3.7509999999999999</v>
      </c>
      <c r="Z33" s="6">
        <f t="shared" si="8"/>
        <v>1.25</v>
      </c>
      <c r="AA33" s="6">
        <f t="shared" si="9"/>
        <v>7.0331250000000001</v>
      </c>
      <c r="AB33" s="6">
        <f t="shared" si="10"/>
        <v>7.0331250000000001</v>
      </c>
      <c r="AC33" s="7" t="str">
        <f t="shared" si="11"/>
        <v>High escalation risk</v>
      </c>
    </row>
    <row r="34" spans="1:29" x14ac:dyDescent="0.35">
      <c r="A34" s="2" t="s">
        <v>74</v>
      </c>
      <c r="B34" s="11">
        <v>0</v>
      </c>
      <c r="C34" s="11">
        <v>39018</v>
      </c>
      <c r="D34" s="11" t="str">
        <f>_xlfn.XLOOKUP(C34,'Dealer Operations'!B:B,'Dealer Operations'!C:C,"Not Found")</f>
        <v>Huntington Beach Hyundai</v>
      </c>
      <c r="E34" s="11" t="str">
        <f>_xlfn.XLOOKUP(C35,'Dealer Operations'!B:B,'Dealer Operations'!D:D,"Not Found")</f>
        <v>Fred Mercury</v>
      </c>
      <c r="F34" s="26">
        <f>_xlfn.XLOOKUP(A34,'Dealer Operations'!A:A,'Dealer Operations'!E:E,"Not Found")</f>
        <v>46131</v>
      </c>
      <c r="G34" s="3">
        <v>24</v>
      </c>
      <c r="H34" s="3">
        <v>0</v>
      </c>
      <c r="I34" s="2" t="s">
        <v>31</v>
      </c>
      <c r="J34" s="3">
        <f>_xlfn.XLOOKUP(C34,'Dealer Operations'!B:B,'Dealer Operations'!I:I,"Not Found")</f>
        <v>73</v>
      </c>
      <c r="K34" s="4">
        <f>_xlfn.XLOOKUP(C34,'Dealer Operations'!B:B,'Dealer Operations'!J:J,"Not Found")</f>
        <v>9.9</v>
      </c>
      <c r="L34" s="4">
        <f>_xlfn.XLOOKUP(C34,'Dealer Operations'!B:B,'Dealer Operations'!K:K,"Not Found")</f>
        <v>79</v>
      </c>
      <c r="M34" s="3">
        <v>2</v>
      </c>
      <c r="N34" s="3">
        <v>6</v>
      </c>
      <c r="O34" s="3">
        <v>6</v>
      </c>
      <c r="P34" s="3">
        <v>3</v>
      </c>
      <c r="Q34" s="6">
        <f t="shared" ref="Q34:Q65" si="13">IF(I34="Loaner Covered",0.85,IF(I34="External Rental",1.3,IF(I34="No Loaner Coverage",1.6,1)))</f>
        <v>1.3</v>
      </c>
      <c r="R34" s="6">
        <f t="shared" ref="R34:R65" si="14">IF(H34&lt;=1,1,IF(H34=2,1.15,IF(H34=3,1.3,1.45)))</f>
        <v>1</v>
      </c>
      <c r="S34" s="6">
        <f t="shared" ref="S34:S65" si="15">IF(N34=0,1,IF(N34=1,1.75,IF(N34=2,2.5,IF(N34=3,3.25,4))))</f>
        <v>4</v>
      </c>
      <c r="T34" s="6">
        <f t="shared" ref="T34:T65" si="16">IF(M34&lt;=1,1,IF(M34&lt;=3,1.75,IF(M34&lt;=5,2.5,IF(M34&lt;=7,3.25,3.75))))</f>
        <v>1.75</v>
      </c>
      <c r="U34" s="6">
        <f t="shared" ref="U34:U65" si="17">IF(J34&gt;=85,1,IF(J34&gt;=75,1.1,IF(J34&gt;=65,1.25,IF(J34&gt;=55,1.35,1.45))))</f>
        <v>1.25</v>
      </c>
      <c r="V34" s="6">
        <f t="shared" si="12"/>
        <v>1.1000000000000001</v>
      </c>
      <c r="W34" s="6">
        <f t="shared" ref="W34:W65" si="18">IF(L34&gt;=95,1,IF(L34&gt;=85,1.1,IF(L34&gt;=75,1.2,IF(L34&gt;=65,1.3,1.4))))</f>
        <v>1.2</v>
      </c>
      <c r="X34" s="6">
        <f t="shared" ref="X34:X65" si="19">IF(G34&lt;=7,1,IF(G34&lt;=14,1.1,IF(G34&lt;=21,1.25,IF(G34&lt;=29,1.5,2))))</f>
        <v>1.5</v>
      </c>
      <c r="Y34" s="6">
        <f t="shared" ref="Y34:Y65" si="20">((0.35*Q34)+(0.65*R34))*((0.6*S34)+(0.4*T34))</f>
        <v>3.4255</v>
      </c>
      <c r="Z34" s="6">
        <f t="shared" ref="Z34:Z65" si="21">(0.35*U34)+(0.45*V34)+(0.2*W34)</f>
        <v>1.1725000000000001</v>
      </c>
      <c r="AA34" s="6">
        <f t="shared" ref="AA34:AA65" si="22">Y34*Z34*X34</f>
        <v>6.0245981250000007</v>
      </c>
      <c r="AB34" s="6">
        <f t="shared" ref="AB34:AB65" si="23">MIN(AA34,15)</f>
        <v>6.0245981250000007</v>
      </c>
      <c r="AC34" s="7" t="str">
        <f t="shared" ref="AC34:AC65" si="24">IF(AB34&lt;3,"Low operational exposure",IF(AB34&lt;6,"Moderate friction",IF(AB34&lt;10,"High escalation risk",IF(AB34&lt;12,"Severe exposure","Critical / Executive intervention"))))</f>
        <v>High escalation risk</v>
      </c>
    </row>
    <row r="35" spans="1:29" x14ac:dyDescent="0.35">
      <c r="A35" s="2" t="s">
        <v>75</v>
      </c>
      <c r="B35" s="11">
        <v>0</v>
      </c>
      <c r="C35" s="11">
        <v>99214</v>
      </c>
      <c r="D35" s="11" t="str">
        <f>_xlfn.XLOOKUP(C35,'Dealer Operations'!B:B,'Dealer Operations'!C:C,"Not Found")</f>
        <v>Temecula Hyundai</v>
      </c>
      <c r="E35" s="11" t="str">
        <f>_xlfn.XLOOKUP(C36,'Dealer Operations'!B:B,'Dealer Operations'!D:D,"Not Found")</f>
        <v>Shohei Ohtani</v>
      </c>
      <c r="F35" s="26">
        <f>_xlfn.XLOOKUP(A35,'Dealer Operations'!A:A,'Dealer Operations'!E:E,"Not Found")</f>
        <v>46122</v>
      </c>
      <c r="G35" s="3">
        <v>33</v>
      </c>
      <c r="H35" s="3">
        <v>1</v>
      </c>
      <c r="I35" s="2" t="s">
        <v>38</v>
      </c>
      <c r="J35" s="3">
        <f>_xlfn.XLOOKUP(C35,'Dealer Operations'!B:B,'Dealer Operations'!I:I,"Not Found")</f>
        <v>68</v>
      </c>
      <c r="K35" s="4">
        <f>_xlfn.XLOOKUP(C35,'Dealer Operations'!B:B,'Dealer Operations'!J:J,"Not Found")</f>
        <v>8.4</v>
      </c>
      <c r="L35" s="4">
        <f>_xlfn.XLOOKUP(C35,'Dealer Operations'!B:B,'Dealer Operations'!K:K,"Not Found")</f>
        <v>88</v>
      </c>
      <c r="M35" s="3">
        <v>1</v>
      </c>
      <c r="N35" s="3">
        <v>5</v>
      </c>
      <c r="O35" s="3">
        <v>8</v>
      </c>
      <c r="P35" s="3">
        <v>4</v>
      </c>
      <c r="Q35" s="6">
        <f t="shared" si="13"/>
        <v>0.85</v>
      </c>
      <c r="R35" s="6">
        <f t="shared" si="14"/>
        <v>1</v>
      </c>
      <c r="S35" s="6">
        <f t="shared" si="15"/>
        <v>4</v>
      </c>
      <c r="T35" s="6">
        <f t="shared" si="16"/>
        <v>1</v>
      </c>
      <c r="U35" s="6">
        <f t="shared" si="17"/>
        <v>1.25</v>
      </c>
      <c r="V35" s="6">
        <f t="shared" si="12"/>
        <v>1.1000000000000001</v>
      </c>
      <c r="W35" s="6">
        <f t="shared" si="18"/>
        <v>1.1000000000000001</v>
      </c>
      <c r="X35" s="6">
        <f t="shared" si="19"/>
        <v>2</v>
      </c>
      <c r="Y35" s="6">
        <f t="shared" si="20"/>
        <v>2.653</v>
      </c>
      <c r="Z35" s="6">
        <f t="shared" si="21"/>
        <v>1.1525000000000001</v>
      </c>
      <c r="AA35" s="6">
        <f t="shared" si="22"/>
        <v>6.1151650000000002</v>
      </c>
      <c r="AB35" s="6">
        <f t="shared" si="23"/>
        <v>6.1151650000000002</v>
      </c>
      <c r="AC35" s="7" t="str">
        <f t="shared" si="24"/>
        <v>High escalation risk</v>
      </c>
    </row>
    <row r="36" spans="1:29" x14ac:dyDescent="0.35">
      <c r="A36" s="2" t="s">
        <v>76</v>
      </c>
      <c r="B36" s="11">
        <v>0</v>
      </c>
      <c r="C36" s="11">
        <v>81773</v>
      </c>
      <c r="D36" s="11" t="str">
        <f>_xlfn.XLOOKUP(C36,'Dealer Operations'!B:B,'Dealer Operations'!C:C,"Not Found")</f>
        <v>Hyundai San Diego</v>
      </c>
      <c r="E36" s="11" t="str">
        <f>_xlfn.XLOOKUP(C37,'Dealer Operations'!B:B,'Dealer Operations'!D:D,"Not Found")</f>
        <v>Fred Mercury</v>
      </c>
      <c r="F36" s="26">
        <f>_xlfn.XLOOKUP(A36,'Dealer Operations'!A:A,'Dealer Operations'!E:E,"Not Found")</f>
        <v>46125</v>
      </c>
      <c r="G36" s="3">
        <v>30</v>
      </c>
      <c r="H36" s="3">
        <v>4</v>
      </c>
      <c r="I36" s="2" t="s">
        <v>31</v>
      </c>
      <c r="J36" s="3">
        <f>_xlfn.XLOOKUP(C36,'Dealer Operations'!B:B,'Dealer Operations'!I:I,"Not Found")</f>
        <v>68</v>
      </c>
      <c r="K36" s="4">
        <f>_xlfn.XLOOKUP(C36,'Dealer Operations'!B:B,'Dealer Operations'!J:J,"Not Found")</f>
        <v>9.3000000000000007</v>
      </c>
      <c r="L36" s="4">
        <f>_xlfn.XLOOKUP(C36,'Dealer Operations'!B:B,'Dealer Operations'!K:K,"Not Found")</f>
        <v>55</v>
      </c>
      <c r="M36" s="3">
        <v>0</v>
      </c>
      <c r="N36" s="3">
        <v>2</v>
      </c>
      <c r="O36" s="3">
        <v>7</v>
      </c>
      <c r="P36" s="3">
        <v>0</v>
      </c>
      <c r="Q36" s="6">
        <f t="shared" si="13"/>
        <v>1.3</v>
      </c>
      <c r="R36" s="6">
        <f t="shared" si="14"/>
        <v>1.45</v>
      </c>
      <c r="S36" s="6">
        <f t="shared" si="15"/>
        <v>2.5</v>
      </c>
      <c r="T36" s="6">
        <f t="shared" si="16"/>
        <v>1</v>
      </c>
      <c r="U36" s="6">
        <f t="shared" si="17"/>
        <v>1.25</v>
      </c>
      <c r="V36" s="6">
        <f t="shared" si="12"/>
        <v>1.1000000000000001</v>
      </c>
      <c r="W36" s="6">
        <f t="shared" si="18"/>
        <v>1.4</v>
      </c>
      <c r="X36" s="6">
        <f t="shared" si="19"/>
        <v>2</v>
      </c>
      <c r="Y36" s="6">
        <f t="shared" si="20"/>
        <v>2.6552499999999997</v>
      </c>
      <c r="Z36" s="6">
        <f t="shared" si="21"/>
        <v>1.2125000000000001</v>
      </c>
      <c r="AA36" s="6">
        <f t="shared" si="22"/>
        <v>6.4389812500000003</v>
      </c>
      <c r="AB36" s="6">
        <f t="shared" si="23"/>
        <v>6.4389812500000003</v>
      </c>
      <c r="AC36" s="7" t="str">
        <f t="shared" si="24"/>
        <v>High escalation risk</v>
      </c>
    </row>
    <row r="37" spans="1:29" x14ac:dyDescent="0.35">
      <c r="A37" s="2" t="s">
        <v>77</v>
      </c>
      <c r="B37" s="11">
        <v>0</v>
      </c>
      <c r="C37" s="11">
        <v>51244</v>
      </c>
      <c r="D37" s="11" t="str">
        <f>_xlfn.XLOOKUP(C37,'Dealer Operations'!B:B,'Dealer Operations'!C:C,"Not Found")</f>
        <v>Hyundai Long Beach</v>
      </c>
      <c r="E37" s="11" t="str">
        <f>_xlfn.XLOOKUP(C38,'Dealer Operations'!B:B,'Dealer Operations'!D:D,"Not Found")</f>
        <v>Fred Mercury</v>
      </c>
      <c r="F37" s="26">
        <f>_xlfn.XLOOKUP(A37,'Dealer Operations'!A:A,'Dealer Operations'!E:E,"Not Found")</f>
        <v>46112</v>
      </c>
      <c r="G37" s="3">
        <v>43</v>
      </c>
      <c r="H37" s="3">
        <v>0</v>
      </c>
      <c r="I37" s="2" t="s">
        <v>38</v>
      </c>
      <c r="J37" s="3">
        <f>_xlfn.XLOOKUP(C37,'Dealer Operations'!B:B,'Dealer Operations'!I:I,"Not Found")</f>
        <v>82</v>
      </c>
      <c r="K37" s="4">
        <f>_xlfn.XLOOKUP(C37,'Dealer Operations'!B:B,'Dealer Operations'!J:J,"Not Found")</f>
        <v>9.1999999999999993</v>
      </c>
      <c r="L37" s="4">
        <f>_xlfn.XLOOKUP(C37,'Dealer Operations'!B:B,'Dealer Operations'!K:K,"Not Found")</f>
        <v>83</v>
      </c>
      <c r="M37" s="3">
        <v>2</v>
      </c>
      <c r="N37" s="3">
        <v>6</v>
      </c>
      <c r="O37" s="3">
        <v>4</v>
      </c>
      <c r="P37" s="3">
        <v>4</v>
      </c>
      <c r="Q37" s="6">
        <f t="shared" si="13"/>
        <v>0.85</v>
      </c>
      <c r="R37" s="6">
        <f t="shared" si="14"/>
        <v>1</v>
      </c>
      <c r="S37" s="6">
        <f t="shared" si="15"/>
        <v>4</v>
      </c>
      <c r="T37" s="6">
        <f t="shared" si="16"/>
        <v>1.75</v>
      </c>
      <c r="U37" s="6">
        <f t="shared" si="17"/>
        <v>1.1000000000000001</v>
      </c>
      <c r="V37" s="6">
        <f t="shared" si="12"/>
        <v>1.1000000000000001</v>
      </c>
      <c r="W37" s="6">
        <f t="shared" si="18"/>
        <v>1.2</v>
      </c>
      <c r="X37" s="6">
        <f t="shared" si="19"/>
        <v>2</v>
      </c>
      <c r="Y37" s="6">
        <f t="shared" si="20"/>
        <v>2.9372500000000001</v>
      </c>
      <c r="Z37" s="6">
        <f t="shared" si="21"/>
        <v>1.1200000000000001</v>
      </c>
      <c r="AA37" s="6">
        <f t="shared" si="22"/>
        <v>6.5794400000000008</v>
      </c>
      <c r="AB37" s="6">
        <f t="shared" si="23"/>
        <v>6.5794400000000008</v>
      </c>
      <c r="AC37" s="7" t="str">
        <f t="shared" si="24"/>
        <v>High escalation risk</v>
      </c>
    </row>
    <row r="38" spans="1:29" x14ac:dyDescent="0.35">
      <c r="A38" s="2" t="s">
        <v>78</v>
      </c>
      <c r="B38" s="11">
        <v>0</v>
      </c>
      <c r="C38" s="11">
        <v>77841</v>
      </c>
      <c r="D38" s="11" t="str">
        <f>_xlfn.XLOOKUP(C38,'Dealer Operations'!B:B,'Dealer Operations'!C:C,"Not Found")</f>
        <v>Victorville Hyundai</v>
      </c>
      <c r="E38" s="11" t="str">
        <f>_xlfn.XLOOKUP(C39,'Dealer Operations'!B:B,'Dealer Operations'!D:D,"Not Found")</f>
        <v>Shohei Ohtani</v>
      </c>
      <c r="F38" s="26">
        <f>_xlfn.XLOOKUP(A38,'Dealer Operations'!A:A,'Dealer Operations'!E:E,"Not Found")</f>
        <v>46140</v>
      </c>
      <c r="G38" s="3">
        <v>15</v>
      </c>
      <c r="H38" s="3">
        <v>2</v>
      </c>
      <c r="I38" s="2" t="s">
        <v>38</v>
      </c>
      <c r="J38" s="3">
        <f>_xlfn.XLOOKUP(C38,'Dealer Operations'!B:B,'Dealer Operations'!I:I,"Not Found")</f>
        <v>86</v>
      </c>
      <c r="K38" s="4">
        <f>_xlfn.XLOOKUP(C38,'Dealer Operations'!B:B,'Dealer Operations'!J:J,"Not Found")</f>
        <v>8</v>
      </c>
      <c r="L38" s="4">
        <f>_xlfn.XLOOKUP(C38,'Dealer Operations'!B:B,'Dealer Operations'!K:K,"Not Found")</f>
        <v>80</v>
      </c>
      <c r="M38" s="3">
        <v>7</v>
      </c>
      <c r="N38" s="3">
        <v>0</v>
      </c>
      <c r="O38" s="3">
        <v>11</v>
      </c>
      <c r="P38" s="3">
        <v>3</v>
      </c>
      <c r="Q38" s="6">
        <f t="shared" si="13"/>
        <v>0.85</v>
      </c>
      <c r="R38" s="6">
        <f t="shared" si="14"/>
        <v>1.1499999999999999</v>
      </c>
      <c r="S38" s="6">
        <f t="shared" si="15"/>
        <v>1</v>
      </c>
      <c r="T38" s="6">
        <f t="shared" si="16"/>
        <v>3.25</v>
      </c>
      <c r="U38" s="6">
        <f t="shared" si="17"/>
        <v>1</v>
      </c>
      <c r="V38" s="6">
        <f t="shared" si="12"/>
        <v>1.1000000000000001</v>
      </c>
      <c r="W38" s="6">
        <f t="shared" si="18"/>
        <v>1.2</v>
      </c>
      <c r="X38" s="6">
        <f t="shared" si="19"/>
        <v>1.25</v>
      </c>
      <c r="Y38" s="6">
        <f t="shared" si="20"/>
        <v>1.9854999999999998</v>
      </c>
      <c r="Z38" s="6">
        <f t="shared" si="21"/>
        <v>1.085</v>
      </c>
      <c r="AA38" s="6">
        <f t="shared" si="22"/>
        <v>2.6928343749999994</v>
      </c>
      <c r="AB38" s="6">
        <f t="shared" si="23"/>
        <v>2.6928343749999994</v>
      </c>
      <c r="AC38" s="7" t="str">
        <f t="shared" si="24"/>
        <v>Low operational exposure</v>
      </c>
    </row>
    <row r="39" spans="1:29" x14ac:dyDescent="0.35">
      <c r="A39" s="2" t="s">
        <v>79</v>
      </c>
      <c r="B39" s="11">
        <v>0</v>
      </c>
      <c r="C39" s="11">
        <v>39018</v>
      </c>
      <c r="D39" s="11" t="str">
        <f>_xlfn.XLOOKUP(C39,'Dealer Operations'!B:B,'Dealer Operations'!C:C,"Not Found")</f>
        <v>Huntington Beach Hyundai</v>
      </c>
      <c r="E39" s="11" t="str">
        <f>_xlfn.XLOOKUP(C40,'Dealer Operations'!B:B,'Dealer Operations'!D:D,"Not Found")</f>
        <v>Shohei Ohtani</v>
      </c>
      <c r="F39" s="26">
        <f>_xlfn.XLOOKUP(A39,'Dealer Operations'!A:A,'Dealer Operations'!E:E,"Not Found")</f>
        <v>46146</v>
      </c>
      <c r="G39" s="3">
        <v>9</v>
      </c>
      <c r="H39" s="3">
        <v>3</v>
      </c>
      <c r="I39" s="2" t="s">
        <v>29</v>
      </c>
      <c r="J39" s="3">
        <f>_xlfn.XLOOKUP(C39,'Dealer Operations'!B:B,'Dealer Operations'!I:I,"Not Found")</f>
        <v>73</v>
      </c>
      <c r="K39" s="4">
        <f>_xlfn.XLOOKUP(C39,'Dealer Operations'!B:B,'Dealer Operations'!J:J,"Not Found")</f>
        <v>9.9</v>
      </c>
      <c r="L39" s="4">
        <f>_xlfn.XLOOKUP(C39,'Dealer Operations'!B:B,'Dealer Operations'!K:K,"Not Found")</f>
        <v>79</v>
      </c>
      <c r="M39" s="3">
        <v>5</v>
      </c>
      <c r="N39" s="3">
        <v>0</v>
      </c>
      <c r="O39" s="3">
        <v>6</v>
      </c>
      <c r="P39" s="3">
        <v>0</v>
      </c>
      <c r="Q39" s="6">
        <f t="shared" si="13"/>
        <v>1.6</v>
      </c>
      <c r="R39" s="6">
        <f t="shared" si="14"/>
        <v>1.3</v>
      </c>
      <c r="S39" s="6">
        <f t="shared" si="15"/>
        <v>1</v>
      </c>
      <c r="T39" s="6">
        <f t="shared" si="16"/>
        <v>2.5</v>
      </c>
      <c r="U39" s="6">
        <f t="shared" si="17"/>
        <v>1.25</v>
      </c>
      <c r="V39" s="6">
        <f t="shared" si="12"/>
        <v>1.1000000000000001</v>
      </c>
      <c r="W39" s="6">
        <f t="shared" si="18"/>
        <v>1.2</v>
      </c>
      <c r="X39" s="6">
        <f t="shared" si="19"/>
        <v>1.1000000000000001</v>
      </c>
      <c r="Y39" s="6">
        <f t="shared" si="20"/>
        <v>2.2480000000000002</v>
      </c>
      <c r="Z39" s="6">
        <f t="shared" si="21"/>
        <v>1.1725000000000001</v>
      </c>
      <c r="AA39" s="6">
        <f t="shared" si="22"/>
        <v>2.8993580000000008</v>
      </c>
      <c r="AB39" s="6">
        <f t="shared" si="23"/>
        <v>2.8993580000000008</v>
      </c>
      <c r="AC39" s="7" t="str">
        <f t="shared" si="24"/>
        <v>Low operational exposure</v>
      </c>
    </row>
    <row r="40" spans="1:29" x14ac:dyDescent="0.35">
      <c r="A40" s="2" t="s">
        <v>80</v>
      </c>
      <c r="B40" s="11">
        <v>0</v>
      </c>
      <c r="C40" s="11">
        <v>20318</v>
      </c>
      <c r="D40" s="11" t="str">
        <f>_xlfn.XLOOKUP(C40,'Dealer Operations'!B:B,'Dealer Operations'!C:C,"Not Found")</f>
        <v>Ontario Hyundai</v>
      </c>
      <c r="E40" s="11" t="str">
        <f>_xlfn.XLOOKUP(C41,'Dealer Operations'!B:B,'Dealer Operations'!D:D,"Not Found")</f>
        <v>Fred Mercury</v>
      </c>
      <c r="F40" s="26">
        <f>_xlfn.XLOOKUP(A40,'Dealer Operations'!A:A,'Dealer Operations'!E:E,"Not Found")</f>
        <v>46141</v>
      </c>
      <c r="G40" s="3">
        <v>14</v>
      </c>
      <c r="H40" s="3">
        <v>1</v>
      </c>
      <c r="I40" s="2" t="s">
        <v>38</v>
      </c>
      <c r="J40" s="3">
        <f>_xlfn.XLOOKUP(C40,'Dealer Operations'!B:B,'Dealer Operations'!I:I,"Not Found")</f>
        <v>86</v>
      </c>
      <c r="K40" s="4">
        <f>_xlfn.XLOOKUP(C40,'Dealer Operations'!B:B,'Dealer Operations'!J:J,"Not Found")</f>
        <v>7.4</v>
      </c>
      <c r="L40" s="4">
        <f>_xlfn.XLOOKUP(C40,'Dealer Operations'!B:B,'Dealer Operations'!K:K,"Not Found")</f>
        <v>94</v>
      </c>
      <c r="M40" s="3">
        <v>10</v>
      </c>
      <c r="N40" s="3">
        <v>0</v>
      </c>
      <c r="O40" s="3">
        <v>6</v>
      </c>
      <c r="P40" s="3">
        <v>4</v>
      </c>
      <c r="Q40" s="6">
        <f t="shared" si="13"/>
        <v>0.85</v>
      </c>
      <c r="R40" s="6">
        <f t="shared" si="14"/>
        <v>1</v>
      </c>
      <c r="S40" s="6">
        <f t="shared" si="15"/>
        <v>1</v>
      </c>
      <c r="T40" s="6">
        <f t="shared" si="16"/>
        <v>3.75</v>
      </c>
      <c r="U40" s="6">
        <f t="shared" si="17"/>
        <v>1</v>
      </c>
      <c r="V40" s="6">
        <f t="shared" si="12"/>
        <v>1.1000000000000001</v>
      </c>
      <c r="W40" s="6">
        <f t="shared" si="18"/>
        <v>1.1000000000000001</v>
      </c>
      <c r="X40" s="6">
        <f t="shared" si="19"/>
        <v>1.1000000000000001</v>
      </c>
      <c r="Y40" s="6">
        <f t="shared" si="20"/>
        <v>1.9897500000000001</v>
      </c>
      <c r="Z40" s="6">
        <f t="shared" si="21"/>
        <v>1.0649999999999999</v>
      </c>
      <c r="AA40" s="6">
        <f t="shared" si="22"/>
        <v>2.3309921250000003</v>
      </c>
      <c r="AB40" s="6">
        <f t="shared" si="23"/>
        <v>2.3309921250000003</v>
      </c>
      <c r="AC40" s="7" t="str">
        <f t="shared" si="24"/>
        <v>Low operational exposure</v>
      </c>
    </row>
    <row r="41" spans="1:29" x14ac:dyDescent="0.35">
      <c r="A41" s="2" t="s">
        <v>81</v>
      </c>
      <c r="B41" s="11">
        <v>0</v>
      </c>
      <c r="C41" s="11">
        <v>77841</v>
      </c>
      <c r="D41" s="11" t="str">
        <f>_xlfn.XLOOKUP(C41,'Dealer Operations'!B:B,'Dealer Operations'!C:C,"Not Found")</f>
        <v>Victorville Hyundai</v>
      </c>
      <c r="E41" s="11" t="str">
        <f>_xlfn.XLOOKUP(C42,'Dealer Operations'!B:B,'Dealer Operations'!D:D,"Not Found")</f>
        <v>Fred Mercury</v>
      </c>
      <c r="F41" s="26">
        <f>_xlfn.XLOOKUP(A41,'Dealer Operations'!A:A,'Dealer Operations'!E:E,"Not Found")</f>
        <v>46153</v>
      </c>
      <c r="G41" s="3">
        <v>2</v>
      </c>
      <c r="H41" s="3">
        <v>0</v>
      </c>
      <c r="I41" s="2" t="s">
        <v>31</v>
      </c>
      <c r="J41" s="3">
        <f>_xlfn.XLOOKUP(C41,'Dealer Operations'!B:B,'Dealer Operations'!I:I,"Not Found")</f>
        <v>86</v>
      </c>
      <c r="K41" s="4">
        <f>_xlfn.XLOOKUP(C41,'Dealer Operations'!B:B,'Dealer Operations'!J:J,"Not Found")</f>
        <v>8</v>
      </c>
      <c r="L41" s="4">
        <f>_xlfn.XLOOKUP(C41,'Dealer Operations'!B:B,'Dealer Operations'!K:K,"Not Found")</f>
        <v>80</v>
      </c>
      <c r="M41" s="3">
        <v>4</v>
      </c>
      <c r="N41" s="3">
        <v>0</v>
      </c>
      <c r="O41" s="3">
        <v>2</v>
      </c>
      <c r="P41" s="3">
        <v>3</v>
      </c>
      <c r="Q41" s="6">
        <f t="shared" si="13"/>
        <v>1.3</v>
      </c>
      <c r="R41" s="6">
        <f t="shared" si="14"/>
        <v>1</v>
      </c>
      <c r="S41" s="6">
        <f t="shared" si="15"/>
        <v>1</v>
      </c>
      <c r="T41" s="6">
        <f t="shared" si="16"/>
        <v>2.5</v>
      </c>
      <c r="U41" s="6">
        <f t="shared" si="17"/>
        <v>1</v>
      </c>
      <c r="V41" s="6">
        <f t="shared" si="12"/>
        <v>1.1000000000000001</v>
      </c>
      <c r="W41" s="6">
        <f t="shared" si="18"/>
        <v>1.2</v>
      </c>
      <c r="X41" s="6">
        <f t="shared" si="19"/>
        <v>1</v>
      </c>
      <c r="Y41" s="6">
        <f t="shared" si="20"/>
        <v>1.768</v>
      </c>
      <c r="Z41" s="6">
        <f t="shared" si="21"/>
        <v>1.085</v>
      </c>
      <c r="AA41" s="6">
        <f t="shared" si="22"/>
        <v>1.91828</v>
      </c>
      <c r="AB41" s="6">
        <f t="shared" si="23"/>
        <v>1.91828</v>
      </c>
      <c r="AC41" s="7" t="str">
        <f t="shared" si="24"/>
        <v>Low operational exposure</v>
      </c>
    </row>
    <row r="42" spans="1:29" x14ac:dyDescent="0.35">
      <c r="A42" s="2" t="s">
        <v>82</v>
      </c>
      <c r="B42" s="11">
        <v>0</v>
      </c>
      <c r="C42" s="11">
        <v>11425</v>
      </c>
      <c r="D42" s="11" t="str">
        <f>_xlfn.XLOOKUP(C42,'Dealer Operations'!B:B,'Dealer Operations'!C:C,"Not Found")</f>
        <v>Keyes Hyundai</v>
      </c>
      <c r="E42" s="11" t="str">
        <f>_xlfn.XLOOKUP(C43,'Dealer Operations'!B:B,'Dealer Operations'!D:D,"Not Found")</f>
        <v>Fred Mercury</v>
      </c>
      <c r="F42" s="26">
        <f>_xlfn.XLOOKUP(A42,'Dealer Operations'!A:A,'Dealer Operations'!E:E,"Not Found")</f>
        <v>46137</v>
      </c>
      <c r="G42" s="3">
        <v>18</v>
      </c>
      <c r="H42" s="3">
        <v>3</v>
      </c>
      <c r="I42" s="2" t="s">
        <v>38</v>
      </c>
      <c r="J42" s="3">
        <f>_xlfn.XLOOKUP(C42,'Dealer Operations'!B:B,'Dealer Operations'!I:I,"Not Found")</f>
        <v>86</v>
      </c>
      <c r="K42" s="4">
        <f>_xlfn.XLOOKUP(C42,'Dealer Operations'!B:B,'Dealer Operations'!J:J,"Not Found")</f>
        <v>6.8</v>
      </c>
      <c r="L42" s="4">
        <f>_xlfn.XLOOKUP(C42,'Dealer Operations'!B:B,'Dealer Operations'!K:K,"Not Found")</f>
        <v>89</v>
      </c>
      <c r="M42" s="3">
        <v>3</v>
      </c>
      <c r="N42" s="3">
        <v>0</v>
      </c>
      <c r="O42" s="3">
        <v>8</v>
      </c>
      <c r="P42" s="3">
        <v>0</v>
      </c>
      <c r="Q42" s="6">
        <f t="shared" si="13"/>
        <v>0.85</v>
      </c>
      <c r="R42" s="6">
        <f t="shared" si="14"/>
        <v>1.3</v>
      </c>
      <c r="S42" s="6">
        <f t="shared" si="15"/>
        <v>1</v>
      </c>
      <c r="T42" s="6">
        <f t="shared" si="16"/>
        <v>1.75</v>
      </c>
      <c r="U42" s="6">
        <f t="shared" si="17"/>
        <v>1</v>
      </c>
      <c r="V42" s="6">
        <f t="shared" si="12"/>
        <v>1.1000000000000001</v>
      </c>
      <c r="W42" s="6">
        <f t="shared" si="18"/>
        <v>1.1000000000000001</v>
      </c>
      <c r="X42" s="6">
        <f t="shared" si="19"/>
        <v>1.25</v>
      </c>
      <c r="Y42" s="6">
        <f t="shared" si="20"/>
        <v>1.4852500000000002</v>
      </c>
      <c r="Z42" s="6">
        <f t="shared" si="21"/>
        <v>1.0649999999999999</v>
      </c>
      <c r="AA42" s="6">
        <f t="shared" si="22"/>
        <v>1.9772390625000003</v>
      </c>
      <c r="AB42" s="6">
        <f t="shared" si="23"/>
        <v>1.9772390625000003</v>
      </c>
      <c r="AC42" s="7" t="str">
        <f t="shared" si="24"/>
        <v>Low operational exposure</v>
      </c>
    </row>
    <row r="43" spans="1:29" x14ac:dyDescent="0.35">
      <c r="A43" s="2" t="s">
        <v>83</v>
      </c>
      <c r="B43" s="11">
        <v>0</v>
      </c>
      <c r="C43" s="11">
        <v>11425</v>
      </c>
      <c r="D43" s="11" t="str">
        <f>_xlfn.XLOOKUP(C43,'Dealer Operations'!B:B,'Dealer Operations'!C:C,"Not Found")</f>
        <v>Keyes Hyundai</v>
      </c>
      <c r="E43" s="11" t="str">
        <f>_xlfn.XLOOKUP(C44,'Dealer Operations'!B:B,'Dealer Operations'!D:D,"Not Found")</f>
        <v>Fred Mercury</v>
      </c>
      <c r="F43" s="26">
        <f>_xlfn.XLOOKUP(A43,'Dealer Operations'!A:A,'Dealer Operations'!E:E,"Not Found")</f>
        <v>46138</v>
      </c>
      <c r="G43" s="3">
        <v>17</v>
      </c>
      <c r="H43" s="3">
        <v>3</v>
      </c>
      <c r="I43" s="2" t="s">
        <v>38</v>
      </c>
      <c r="J43" s="3">
        <f>_xlfn.XLOOKUP(C43,'Dealer Operations'!B:B,'Dealer Operations'!I:I,"Not Found")</f>
        <v>86</v>
      </c>
      <c r="K43" s="4">
        <f>_xlfn.XLOOKUP(C43,'Dealer Operations'!B:B,'Dealer Operations'!J:J,"Not Found")</f>
        <v>6.8</v>
      </c>
      <c r="L43" s="4">
        <f>_xlfn.XLOOKUP(C43,'Dealer Operations'!B:B,'Dealer Operations'!K:K,"Not Found")</f>
        <v>89</v>
      </c>
      <c r="M43" s="3">
        <v>0</v>
      </c>
      <c r="N43" s="3">
        <v>1</v>
      </c>
      <c r="O43" s="3">
        <v>5</v>
      </c>
      <c r="P43" s="3">
        <v>0</v>
      </c>
      <c r="Q43" s="6">
        <f t="shared" si="13"/>
        <v>0.85</v>
      </c>
      <c r="R43" s="6">
        <f t="shared" si="14"/>
        <v>1.3</v>
      </c>
      <c r="S43" s="6">
        <f t="shared" si="15"/>
        <v>1.75</v>
      </c>
      <c r="T43" s="6">
        <f t="shared" si="16"/>
        <v>1</v>
      </c>
      <c r="U43" s="6">
        <f t="shared" si="17"/>
        <v>1</v>
      </c>
      <c r="V43" s="6">
        <f t="shared" si="12"/>
        <v>1.1000000000000001</v>
      </c>
      <c r="W43" s="6">
        <f t="shared" si="18"/>
        <v>1.1000000000000001</v>
      </c>
      <c r="X43" s="6">
        <f t="shared" si="19"/>
        <v>1.25</v>
      </c>
      <c r="Y43" s="6">
        <f t="shared" si="20"/>
        <v>1.6566250000000002</v>
      </c>
      <c r="Z43" s="6">
        <f t="shared" si="21"/>
        <v>1.0649999999999999</v>
      </c>
      <c r="AA43" s="6">
        <f t="shared" si="22"/>
        <v>2.2053820312500001</v>
      </c>
      <c r="AB43" s="6">
        <f t="shared" si="23"/>
        <v>2.2053820312500001</v>
      </c>
      <c r="AC43" s="7" t="str">
        <f t="shared" si="24"/>
        <v>Low operational exposure</v>
      </c>
    </row>
    <row r="44" spans="1:29" x14ac:dyDescent="0.35">
      <c r="A44" s="2" t="s">
        <v>84</v>
      </c>
      <c r="B44" s="11">
        <v>0</v>
      </c>
      <c r="C44" s="11">
        <v>77841</v>
      </c>
      <c r="D44" s="11" t="str">
        <f>_xlfn.XLOOKUP(C44,'Dealer Operations'!B:B,'Dealer Operations'!C:C,"Not Found")</f>
        <v>Victorville Hyundai</v>
      </c>
      <c r="E44" s="11" t="str">
        <f>_xlfn.XLOOKUP(C45,'Dealer Operations'!B:B,'Dealer Operations'!D:D,"Not Found")</f>
        <v>Fred Mercury</v>
      </c>
      <c r="F44" s="26">
        <f>_xlfn.XLOOKUP(A44,'Dealer Operations'!A:A,'Dealer Operations'!E:E,"Not Found")</f>
        <v>46152</v>
      </c>
      <c r="G44" s="3">
        <v>3</v>
      </c>
      <c r="H44" s="3">
        <v>2</v>
      </c>
      <c r="I44" s="2" t="s">
        <v>38</v>
      </c>
      <c r="J44" s="3">
        <f>_xlfn.XLOOKUP(C44,'Dealer Operations'!B:B,'Dealer Operations'!I:I,"Not Found")</f>
        <v>86</v>
      </c>
      <c r="K44" s="4">
        <f>_xlfn.XLOOKUP(C44,'Dealer Operations'!B:B,'Dealer Operations'!J:J,"Not Found")</f>
        <v>8</v>
      </c>
      <c r="L44" s="4">
        <f>_xlfn.XLOOKUP(C44,'Dealer Operations'!B:B,'Dealer Operations'!K:K,"Not Found")</f>
        <v>80</v>
      </c>
      <c r="M44" s="3">
        <v>0</v>
      </c>
      <c r="N44" s="3">
        <v>1</v>
      </c>
      <c r="O44" s="3">
        <v>1</v>
      </c>
      <c r="P44" s="3">
        <v>1</v>
      </c>
      <c r="Q44" s="6">
        <f t="shared" si="13"/>
        <v>0.85</v>
      </c>
      <c r="R44" s="6">
        <f t="shared" si="14"/>
        <v>1.1499999999999999</v>
      </c>
      <c r="S44" s="6">
        <f t="shared" si="15"/>
        <v>1.75</v>
      </c>
      <c r="T44" s="6">
        <f t="shared" si="16"/>
        <v>1</v>
      </c>
      <c r="U44" s="6">
        <f t="shared" si="17"/>
        <v>1</v>
      </c>
      <c r="V44" s="6">
        <f t="shared" si="12"/>
        <v>1.1000000000000001</v>
      </c>
      <c r="W44" s="6">
        <f t="shared" si="18"/>
        <v>1.2</v>
      </c>
      <c r="X44" s="6">
        <f t="shared" si="19"/>
        <v>1</v>
      </c>
      <c r="Y44" s="6">
        <f t="shared" si="20"/>
        <v>1.51525</v>
      </c>
      <c r="Z44" s="6">
        <f t="shared" si="21"/>
        <v>1.085</v>
      </c>
      <c r="AA44" s="6">
        <f t="shared" si="22"/>
        <v>1.6440462499999999</v>
      </c>
      <c r="AB44" s="6">
        <f t="shared" si="23"/>
        <v>1.6440462499999999</v>
      </c>
      <c r="AC44" s="7" t="str">
        <f t="shared" si="24"/>
        <v>Low operational exposure</v>
      </c>
    </row>
    <row r="45" spans="1:29" x14ac:dyDescent="0.35">
      <c r="A45" s="2" t="s">
        <v>85</v>
      </c>
      <c r="B45" s="11">
        <v>0</v>
      </c>
      <c r="C45" s="11">
        <v>51244</v>
      </c>
      <c r="D45" s="11" t="str">
        <f>_xlfn.XLOOKUP(C45,'Dealer Operations'!B:B,'Dealer Operations'!C:C,"Not Found")</f>
        <v>Hyundai Long Beach</v>
      </c>
      <c r="E45" s="11" t="str">
        <f>_xlfn.XLOOKUP(C46,'Dealer Operations'!B:B,'Dealer Operations'!D:D,"Not Found")</f>
        <v>Shohei Ohtani</v>
      </c>
      <c r="F45" s="26">
        <f>_xlfn.XLOOKUP(A45,'Dealer Operations'!A:A,'Dealer Operations'!E:E,"Not Found")</f>
        <v>46147</v>
      </c>
      <c r="G45" s="3">
        <v>8</v>
      </c>
      <c r="H45" s="3">
        <v>0</v>
      </c>
      <c r="I45" s="2" t="s">
        <v>38</v>
      </c>
      <c r="J45" s="3">
        <f>_xlfn.XLOOKUP(C45,'Dealer Operations'!B:B,'Dealer Operations'!I:I,"Not Found")</f>
        <v>82</v>
      </c>
      <c r="K45" s="4">
        <f>_xlfn.XLOOKUP(C45,'Dealer Operations'!B:B,'Dealer Operations'!J:J,"Not Found")</f>
        <v>9.1999999999999993</v>
      </c>
      <c r="L45" s="4">
        <f>_xlfn.XLOOKUP(C45,'Dealer Operations'!B:B,'Dealer Operations'!K:K,"Not Found")</f>
        <v>83</v>
      </c>
      <c r="M45" s="3">
        <v>1</v>
      </c>
      <c r="N45" s="3">
        <v>0</v>
      </c>
      <c r="O45" s="3">
        <v>5</v>
      </c>
      <c r="P45" s="3">
        <v>3</v>
      </c>
      <c r="Q45" s="6">
        <f t="shared" si="13"/>
        <v>0.85</v>
      </c>
      <c r="R45" s="6">
        <f t="shared" si="14"/>
        <v>1</v>
      </c>
      <c r="S45" s="6">
        <f t="shared" si="15"/>
        <v>1</v>
      </c>
      <c r="T45" s="6">
        <f t="shared" si="16"/>
        <v>1</v>
      </c>
      <c r="U45" s="6">
        <f t="shared" si="17"/>
        <v>1.1000000000000001</v>
      </c>
      <c r="V45" s="6">
        <f t="shared" si="12"/>
        <v>1.1000000000000001</v>
      </c>
      <c r="W45" s="6">
        <f t="shared" si="18"/>
        <v>1.2</v>
      </c>
      <c r="X45" s="6">
        <f t="shared" si="19"/>
        <v>1.1000000000000001</v>
      </c>
      <c r="Y45" s="6">
        <f t="shared" si="20"/>
        <v>0.94750000000000001</v>
      </c>
      <c r="Z45" s="6">
        <f t="shared" si="21"/>
        <v>1.1200000000000001</v>
      </c>
      <c r="AA45" s="6">
        <f t="shared" si="22"/>
        <v>1.1673200000000004</v>
      </c>
      <c r="AB45" s="6">
        <f t="shared" si="23"/>
        <v>1.1673200000000004</v>
      </c>
      <c r="AC45" s="7" t="str">
        <f t="shared" si="24"/>
        <v>Low operational exposure</v>
      </c>
    </row>
    <row r="46" spans="1:29" x14ac:dyDescent="0.35">
      <c r="A46" s="2" t="s">
        <v>40</v>
      </c>
      <c r="B46" s="11">
        <v>1</v>
      </c>
      <c r="C46" s="11">
        <v>20318</v>
      </c>
      <c r="D46" s="11" t="str">
        <f>_xlfn.XLOOKUP(C46,'Dealer Operations'!B:B,'Dealer Operations'!C:C,"Not Found")</f>
        <v>Ontario Hyundai</v>
      </c>
      <c r="E46" s="11" t="str">
        <f>_xlfn.XLOOKUP(C47,'Dealer Operations'!B:B,'Dealer Operations'!D:D,"Not Found")</f>
        <v>Shohei Ohtani</v>
      </c>
      <c r="F46" s="26">
        <f>_xlfn.XLOOKUP(A46,'Dealer Operations'!A:A,'Dealer Operations'!E:E,"Not Found")</f>
        <v>46126</v>
      </c>
      <c r="G46" s="3">
        <v>29</v>
      </c>
      <c r="H46" s="3">
        <v>0</v>
      </c>
      <c r="I46" s="2" t="s">
        <v>38</v>
      </c>
      <c r="J46" s="3">
        <f>_xlfn.XLOOKUP(C46,'Dealer Operations'!B:B,'Dealer Operations'!I:I,"Not Found")</f>
        <v>86</v>
      </c>
      <c r="K46" s="4">
        <f>_xlfn.XLOOKUP(C46,'Dealer Operations'!B:B,'Dealer Operations'!J:J,"Not Found")</f>
        <v>7.4</v>
      </c>
      <c r="L46" s="4">
        <f>_xlfn.XLOOKUP(C46,'Dealer Operations'!B:B,'Dealer Operations'!K:K,"Not Found")</f>
        <v>94</v>
      </c>
      <c r="M46" s="3">
        <v>9</v>
      </c>
      <c r="N46" s="3">
        <v>6</v>
      </c>
      <c r="O46" s="3">
        <v>8</v>
      </c>
      <c r="P46" s="3">
        <v>4</v>
      </c>
      <c r="Q46" s="6">
        <f t="shared" si="13"/>
        <v>0.85</v>
      </c>
      <c r="R46" s="6">
        <f t="shared" si="14"/>
        <v>1</v>
      </c>
      <c r="S46" s="6">
        <f t="shared" si="15"/>
        <v>4</v>
      </c>
      <c r="T46" s="6">
        <f t="shared" si="16"/>
        <v>3.75</v>
      </c>
      <c r="U46" s="6">
        <f t="shared" si="17"/>
        <v>1</v>
      </c>
      <c r="V46" s="6">
        <f t="shared" si="12"/>
        <v>1.1000000000000001</v>
      </c>
      <c r="W46" s="6">
        <f t="shared" si="18"/>
        <v>1.1000000000000001</v>
      </c>
      <c r="X46" s="6">
        <f t="shared" si="19"/>
        <v>1.5</v>
      </c>
      <c r="Y46" s="6">
        <f t="shared" si="20"/>
        <v>3.6952500000000001</v>
      </c>
      <c r="Z46" s="6">
        <f t="shared" si="21"/>
        <v>1.0649999999999999</v>
      </c>
      <c r="AA46" s="6">
        <f t="shared" si="22"/>
        <v>5.9031618749999994</v>
      </c>
      <c r="AB46" s="6">
        <f t="shared" si="23"/>
        <v>5.9031618749999994</v>
      </c>
      <c r="AC46" s="7" t="str">
        <f t="shared" si="24"/>
        <v>Moderate friction</v>
      </c>
    </row>
    <row r="47" spans="1:29" x14ac:dyDescent="0.35">
      <c r="A47" s="2" t="s">
        <v>86</v>
      </c>
      <c r="B47" s="11">
        <v>0</v>
      </c>
      <c r="C47" s="11">
        <v>39018</v>
      </c>
      <c r="D47" s="11" t="str">
        <f>_xlfn.XLOOKUP(C47,'Dealer Operations'!B:B,'Dealer Operations'!C:C,"Not Found")</f>
        <v>Huntington Beach Hyundai</v>
      </c>
      <c r="E47" s="11" t="str">
        <f>_xlfn.XLOOKUP(C48,'Dealer Operations'!B:B,'Dealer Operations'!D:D,"Not Found")</f>
        <v>Fred Mercury</v>
      </c>
      <c r="F47" s="26">
        <f>_xlfn.XLOOKUP(A47,'Dealer Operations'!A:A,'Dealer Operations'!E:E,"Not Found")</f>
        <v>46128</v>
      </c>
      <c r="G47" s="3">
        <v>27</v>
      </c>
      <c r="H47" s="3">
        <v>4</v>
      </c>
      <c r="I47" s="2" t="s">
        <v>29</v>
      </c>
      <c r="J47" s="3">
        <f>_xlfn.XLOOKUP(C47,'Dealer Operations'!B:B,'Dealer Operations'!I:I,"Not Found")</f>
        <v>73</v>
      </c>
      <c r="K47" s="4">
        <f>_xlfn.XLOOKUP(C47,'Dealer Operations'!B:B,'Dealer Operations'!J:J,"Not Found")</f>
        <v>9.9</v>
      </c>
      <c r="L47" s="4">
        <f>_xlfn.XLOOKUP(C47,'Dealer Operations'!B:B,'Dealer Operations'!K:K,"Not Found")</f>
        <v>79</v>
      </c>
      <c r="M47" s="3">
        <v>7</v>
      </c>
      <c r="N47" s="3">
        <v>0</v>
      </c>
      <c r="O47" s="3">
        <v>8</v>
      </c>
      <c r="P47" s="3">
        <v>2</v>
      </c>
      <c r="Q47" s="6">
        <f t="shared" si="13"/>
        <v>1.6</v>
      </c>
      <c r="R47" s="6">
        <f t="shared" si="14"/>
        <v>1.45</v>
      </c>
      <c r="S47" s="6">
        <f t="shared" si="15"/>
        <v>1</v>
      </c>
      <c r="T47" s="6">
        <f t="shared" si="16"/>
        <v>3.25</v>
      </c>
      <c r="U47" s="6">
        <f t="shared" si="17"/>
        <v>1.25</v>
      </c>
      <c r="V47" s="6">
        <f t="shared" si="12"/>
        <v>1.1000000000000001</v>
      </c>
      <c r="W47" s="6">
        <f t="shared" si="18"/>
        <v>1.2</v>
      </c>
      <c r="X47" s="6">
        <f t="shared" si="19"/>
        <v>1.5</v>
      </c>
      <c r="Y47" s="6">
        <f t="shared" si="20"/>
        <v>2.8547499999999997</v>
      </c>
      <c r="Z47" s="6">
        <f t="shared" si="21"/>
        <v>1.1725000000000001</v>
      </c>
      <c r="AA47" s="6">
        <f t="shared" si="22"/>
        <v>5.0207915624999995</v>
      </c>
      <c r="AB47" s="6">
        <f t="shared" si="23"/>
        <v>5.0207915624999995</v>
      </c>
      <c r="AC47" s="7" t="str">
        <f t="shared" si="24"/>
        <v>Moderate friction</v>
      </c>
    </row>
    <row r="48" spans="1:29" x14ac:dyDescent="0.35">
      <c r="A48" s="2" t="s">
        <v>87</v>
      </c>
      <c r="B48" s="11">
        <v>0</v>
      </c>
      <c r="C48" s="11">
        <v>11425</v>
      </c>
      <c r="D48" s="11" t="str">
        <f>_xlfn.XLOOKUP(C48,'Dealer Operations'!B:B,'Dealer Operations'!C:C,"Not Found")</f>
        <v>Keyes Hyundai</v>
      </c>
      <c r="E48" s="11" t="str">
        <f>_xlfn.XLOOKUP(C49,'Dealer Operations'!B:B,'Dealer Operations'!D:D,"Not Found")</f>
        <v>Fred Mercury</v>
      </c>
      <c r="F48" s="26">
        <f>_xlfn.XLOOKUP(A48,'Dealer Operations'!A:A,'Dealer Operations'!E:E,"Not Found")</f>
        <v>46140</v>
      </c>
      <c r="G48" s="3">
        <v>15</v>
      </c>
      <c r="H48" s="3">
        <v>2</v>
      </c>
      <c r="I48" s="2" t="s">
        <v>31</v>
      </c>
      <c r="J48" s="3">
        <f>_xlfn.XLOOKUP(C48,'Dealer Operations'!B:B,'Dealer Operations'!I:I,"Not Found")</f>
        <v>86</v>
      </c>
      <c r="K48" s="4">
        <f>_xlfn.XLOOKUP(C48,'Dealer Operations'!B:B,'Dealer Operations'!J:J,"Not Found")</f>
        <v>6.8</v>
      </c>
      <c r="L48" s="4">
        <f>_xlfn.XLOOKUP(C48,'Dealer Operations'!B:B,'Dealer Operations'!K:K,"Not Found")</f>
        <v>89</v>
      </c>
      <c r="M48" s="3">
        <v>7</v>
      </c>
      <c r="N48" s="3">
        <v>4</v>
      </c>
      <c r="O48" s="3">
        <v>6</v>
      </c>
      <c r="P48" s="3">
        <v>3</v>
      </c>
      <c r="Q48" s="6">
        <f t="shared" si="13"/>
        <v>1.3</v>
      </c>
      <c r="R48" s="6">
        <f t="shared" si="14"/>
        <v>1.1499999999999999</v>
      </c>
      <c r="S48" s="6">
        <f t="shared" si="15"/>
        <v>4</v>
      </c>
      <c r="T48" s="6">
        <f t="shared" si="16"/>
        <v>3.25</v>
      </c>
      <c r="U48" s="6">
        <f t="shared" si="17"/>
        <v>1</v>
      </c>
      <c r="V48" s="6">
        <f t="shared" si="12"/>
        <v>1.1000000000000001</v>
      </c>
      <c r="W48" s="6">
        <f t="shared" si="18"/>
        <v>1.1000000000000001</v>
      </c>
      <c r="X48" s="6">
        <f t="shared" si="19"/>
        <v>1.25</v>
      </c>
      <c r="Y48" s="6">
        <f t="shared" si="20"/>
        <v>4.4492500000000001</v>
      </c>
      <c r="Z48" s="6">
        <f t="shared" si="21"/>
        <v>1.0649999999999999</v>
      </c>
      <c r="AA48" s="6">
        <f t="shared" si="22"/>
        <v>5.9230640624999999</v>
      </c>
      <c r="AB48" s="6">
        <f t="shared" si="23"/>
        <v>5.9230640624999999</v>
      </c>
      <c r="AC48" s="7" t="str">
        <f t="shared" si="24"/>
        <v>Moderate friction</v>
      </c>
    </row>
    <row r="49" spans="1:29" x14ac:dyDescent="0.35">
      <c r="A49" s="2" t="s">
        <v>88</v>
      </c>
      <c r="B49" s="11">
        <v>0</v>
      </c>
      <c r="C49" s="11">
        <v>51244</v>
      </c>
      <c r="D49" s="11" t="str">
        <f>_xlfn.XLOOKUP(C49,'Dealer Operations'!B:B,'Dealer Operations'!C:C,"Not Found")</f>
        <v>Hyundai Long Beach</v>
      </c>
      <c r="E49" s="11" t="str">
        <f>_xlfn.XLOOKUP(C50,'Dealer Operations'!B:B,'Dealer Operations'!D:D,"Not Found")</f>
        <v>Fred Mercury</v>
      </c>
      <c r="F49" s="26">
        <f>_xlfn.XLOOKUP(A49,'Dealer Operations'!A:A,'Dealer Operations'!E:E,"Not Found")</f>
        <v>46112</v>
      </c>
      <c r="G49" s="3">
        <v>43</v>
      </c>
      <c r="H49" s="3">
        <v>0</v>
      </c>
      <c r="I49" s="2" t="s">
        <v>38</v>
      </c>
      <c r="J49" s="3">
        <f>_xlfn.XLOOKUP(C49,'Dealer Operations'!B:B,'Dealer Operations'!I:I,"Not Found")</f>
        <v>82</v>
      </c>
      <c r="K49" s="4">
        <f>_xlfn.XLOOKUP(C49,'Dealer Operations'!B:B,'Dealer Operations'!J:J,"Not Found")</f>
        <v>9.1999999999999993</v>
      </c>
      <c r="L49" s="4">
        <f>_xlfn.XLOOKUP(C49,'Dealer Operations'!B:B,'Dealer Operations'!K:K,"Not Found")</f>
        <v>83</v>
      </c>
      <c r="M49" s="3">
        <v>8</v>
      </c>
      <c r="N49" s="3">
        <v>1</v>
      </c>
      <c r="O49" s="3">
        <v>8</v>
      </c>
      <c r="P49" s="3">
        <v>1</v>
      </c>
      <c r="Q49" s="6">
        <f t="shared" si="13"/>
        <v>0.85</v>
      </c>
      <c r="R49" s="6">
        <f t="shared" si="14"/>
        <v>1</v>
      </c>
      <c r="S49" s="6">
        <f t="shared" si="15"/>
        <v>1.75</v>
      </c>
      <c r="T49" s="6">
        <f t="shared" si="16"/>
        <v>3.75</v>
      </c>
      <c r="U49" s="6">
        <f t="shared" si="17"/>
        <v>1.1000000000000001</v>
      </c>
      <c r="V49" s="6">
        <f t="shared" si="12"/>
        <v>1.1000000000000001</v>
      </c>
      <c r="W49" s="6">
        <f t="shared" si="18"/>
        <v>1.2</v>
      </c>
      <c r="X49" s="6">
        <f t="shared" si="19"/>
        <v>2</v>
      </c>
      <c r="Y49" s="6">
        <f t="shared" si="20"/>
        <v>2.4161249999999996</v>
      </c>
      <c r="Z49" s="6">
        <f t="shared" si="21"/>
        <v>1.1200000000000001</v>
      </c>
      <c r="AA49" s="6">
        <f t="shared" si="22"/>
        <v>5.4121199999999998</v>
      </c>
      <c r="AB49" s="6">
        <f t="shared" si="23"/>
        <v>5.4121199999999998</v>
      </c>
      <c r="AC49" s="7" t="str">
        <f t="shared" si="24"/>
        <v>Moderate friction</v>
      </c>
    </row>
    <row r="50" spans="1:29" x14ac:dyDescent="0.35">
      <c r="A50" s="2" t="s">
        <v>89</v>
      </c>
      <c r="B50" s="11">
        <v>0</v>
      </c>
      <c r="C50" s="11">
        <v>99214</v>
      </c>
      <c r="D50" s="11" t="str">
        <f>_xlfn.XLOOKUP(C50,'Dealer Operations'!B:B,'Dealer Operations'!C:C,"Not Found")</f>
        <v>Temecula Hyundai</v>
      </c>
      <c r="E50" s="11" t="str">
        <f>_xlfn.XLOOKUP(C51,'Dealer Operations'!B:B,'Dealer Operations'!D:D,"Not Found")</f>
        <v>Fred Mercury</v>
      </c>
      <c r="F50" s="26">
        <f>_xlfn.XLOOKUP(A50,'Dealer Operations'!A:A,'Dealer Operations'!E:E,"Not Found")</f>
        <v>46146</v>
      </c>
      <c r="G50" s="3">
        <v>9</v>
      </c>
      <c r="H50" s="3">
        <v>1</v>
      </c>
      <c r="I50" s="2" t="s">
        <v>29</v>
      </c>
      <c r="J50" s="3">
        <f>_xlfn.XLOOKUP(C50,'Dealer Operations'!B:B,'Dealer Operations'!I:I,"Not Found")</f>
        <v>68</v>
      </c>
      <c r="K50" s="4">
        <f>_xlfn.XLOOKUP(C50,'Dealer Operations'!B:B,'Dealer Operations'!J:J,"Not Found")</f>
        <v>8.4</v>
      </c>
      <c r="L50" s="4">
        <f>_xlfn.XLOOKUP(C50,'Dealer Operations'!B:B,'Dealer Operations'!K:K,"Not Found")</f>
        <v>88</v>
      </c>
      <c r="M50" s="3">
        <v>7</v>
      </c>
      <c r="N50" s="3">
        <v>5</v>
      </c>
      <c r="O50" s="3">
        <v>7</v>
      </c>
      <c r="P50" s="3">
        <v>1</v>
      </c>
      <c r="Q50" s="6">
        <f t="shared" si="13"/>
        <v>1.6</v>
      </c>
      <c r="R50" s="6">
        <f t="shared" si="14"/>
        <v>1</v>
      </c>
      <c r="S50" s="6">
        <f t="shared" si="15"/>
        <v>4</v>
      </c>
      <c r="T50" s="6">
        <f t="shared" si="16"/>
        <v>3.25</v>
      </c>
      <c r="U50" s="6">
        <f t="shared" si="17"/>
        <v>1.25</v>
      </c>
      <c r="V50" s="6">
        <f t="shared" si="12"/>
        <v>1.1000000000000001</v>
      </c>
      <c r="W50" s="6">
        <f t="shared" si="18"/>
        <v>1.1000000000000001</v>
      </c>
      <c r="X50" s="6">
        <f t="shared" si="19"/>
        <v>1.1000000000000001</v>
      </c>
      <c r="Y50" s="6">
        <f t="shared" si="20"/>
        <v>4.4770000000000003</v>
      </c>
      <c r="Z50" s="6">
        <f t="shared" si="21"/>
        <v>1.1525000000000001</v>
      </c>
      <c r="AA50" s="6">
        <f t="shared" si="22"/>
        <v>5.6757167500000012</v>
      </c>
      <c r="AB50" s="6">
        <f t="shared" si="23"/>
        <v>5.6757167500000012</v>
      </c>
      <c r="AC50" s="7" t="str">
        <f t="shared" si="24"/>
        <v>Moderate friction</v>
      </c>
    </row>
    <row r="51" spans="1:29" x14ac:dyDescent="0.35">
      <c r="A51" s="2" t="s">
        <v>90</v>
      </c>
      <c r="B51" s="11">
        <v>0</v>
      </c>
      <c r="C51" s="11">
        <v>77841</v>
      </c>
      <c r="D51" s="11" t="str">
        <f>_xlfn.XLOOKUP(C51,'Dealer Operations'!B:B,'Dealer Operations'!C:C,"Not Found")</f>
        <v>Victorville Hyundai</v>
      </c>
      <c r="E51" s="11" t="str">
        <f>_xlfn.XLOOKUP(C52,'Dealer Operations'!B:B,'Dealer Operations'!D:D,"Not Found")</f>
        <v>Fred Mercury</v>
      </c>
      <c r="F51" s="26">
        <f>_xlfn.XLOOKUP(A51,'Dealer Operations'!A:A,'Dealer Operations'!E:E,"Not Found")</f>
        <v>46144</v>
      </c>
      <c r="G51" s="3">
        <v>11</v>
      </c>
      <c r="H51" s="3">
        <v>1</v>
      </c>
      <c r="I51" s="2" t="s">
        <v>31</v>
      </c>
      <c r="J51" s="3">
        <f>_xlfn.XLOOKUP(C51,'Dealer Operations'!B:B,'Dealer Operations'!I:I,"Not Found")</f>
        <v>86</v>
      </c>
      <c r="K51" s="4">
        <f>_xlfn.XLOOKUP(C51,'Dealer Operations'!B:B,'Dealer Operations'!J:J,"Not Found")</f>
        <v>8</v>
      </c>
      <c r="L51" s="4">
        <f>_xlfn.XLOOKUP(C51,'Dealer Operations'!B:B,'Dealer Operations'!K:K,"Not Found")</f>
        <v>80</v>
      </c>
      <c r="M51" s="3">
        <v>7</v>
      </c>
      <c r="N51" s="3">
        <v>4</v>
      </c>
      <c r="O51" s="3">
        <v>3</v>
      </c>
      <c r="P51" s="3">
        <v>0</v>
      </c>
      <c r="Q51" s="6">
        <f t="shared" si="13"/>
        <v>1.3</v>
      </c>
      <c r="R51" s="6">
        <f t="shared" si="14"/>
        <v>1</v>
      </c>
      <c r="S51" s="6">
        <f t="shared" si="15"/>
        <v>4</v>
      </c>
      <c r="T51" s="6">
        <f t="shared" si="16"/>
        <v>3.25</v>
      </c>
      <c r="U51" s="6">
        <f t="shared" si="17"/>
        <v>1</v>
      </c>
      <c r="V51" s="6">
        <f t="shared" si="12"/>
        <v>1.1000000000000001</v>
      </c>
      <c r="W51" s="6">
        <f t="shared" si="18"/>
        <v>1.2</v>
      </c>
      <c r="X51" s="6">
        <f t="shared" si="19"/>
        <v>1.1000000000000001</v>
      </c>
      <c r="Y51" s="6">
        <f t="shared" si="20"/>
        <v>4.0884999999999998</v>
      </c>
      <c r="Z51" s="6">
        <f t="shared" si="21"/>
        <v>1.085</v>
      </c>
      <c r="AA51" s="6">
        <f t="shared" si="22"/>
        <v>4.8796247500000005</v>
      </c>
      <c r="AB51" s="6">
        <f t="shared" si="23"/>
        <v>4.8796247500000005</v>
      </c>
      <c r="AC51" s="7" t="str">
        <f t="shared" si="24"/>
        <v>Moderate friction</v>
      </c>
    </row>
    <row r="52" spans="1:29" x14ac:dyDescent="0.35">
      <c r="A52" s="2" t="s">
        <v>91</v>
      </c>
      <c r="B52" s="11">
        <v>0</v>
      </c>
      <c r="C52" s="11">
        <v>77841</v>
      </c>
      <c r="D52" s="11" t="str">
        <f>_xlfn.XLOOKUP(C52,'Dealer Operations'!B:B,'Dealer Operations'!C:C,"Not Found")</f>
        <v>Victorville Hyundai</v>
      </c>
      <c r="E52" s="11" t="str">
        <f>_xlfn.XLOOKUP(C53,'Dealer Operations'!B:B,'Dealer Operations'!D:D,"Not Found")</f>
        <v>Shohei Ohtani</v>
      </c>
      <c r="F52" s="26">
        <f>_xlfn.XLOOKUP(A52,'Dealer Operations'!A:A,'Dealer Operations'!E:E,"Not Found")</f>
        <v>46120</v>
      </c>
      <c r="G52" s="3">
        <v>35</v>
      </c>
      <c r="H52" s="3">
        <v>4</v>
      </c>
      <c r="I52" s="2" t="s">
        <v>38</v>
      </c>
      <c r="J52" s="3">
        <f>_xlfn.XLOOKUP(C52,'Dealer Operations'!B:B,'Dealer Operations'!I:I,"Not Found")</f>
        <v>86</v>
      </c>
      <c r="K52" s="4">
        <f>_xlfn.XLOOKUP(C52,'Dealer Operations'!B:B,'Dealer Operations'!J:J,"Not Found")</f>
        <v>8</v>
      </c>
      <c r="L52" s="4">
        <f>_xlfn.XLOOKUP(C52,'Dealer Operations'!B:B,'Dealer Operations'!K:K,"Not Found")</f>
        <v>80</v>
      </c>
      <c r="M52" s="3">
        <v>7</v>
      </c>
      <c r="N52" s="3">
        <v>0</v>
      </c>
      <c r="O52" s="3">
        <v>7</v>
      </c>
      <c r="P52" s="3">
        <v>1</v>
      </c>
      <c r="Q52" s="6">
        <f t="shared" si="13"/>
        <v>0.85</v>
      </c>
      <c r="R52" s="6">
        <f t="shared" si="14"/>
        <v>1.45</v>
      </c>
      <c r="S52" s="6">
        <f t="shared" si="15"/>
        <v>1</v>
      </c>
      <c r="T52" s="6">
        <f t="shared" si="16"/>
        <v>3.25</v>
      </c>
      <c r="U52" s="6">
        <f t="shared" si="17"/>
        <v>1</v>
      </c>
      <c r="V52" s="6">
        <f t="shared" si="12"/>
        <v>1.1000000000000001</v>
      </c>
      <c r="W52" s="6">
        <f t="shared" si="18"/>
        <v>1.2</v>
      </c>
      <c r="X52" s="6">
        <f t="shared" si="19"/>
        <v>2</v>
      </c>
      <c r="Y52" s="6">
        <f t="shared" si="20"/>
        <v>2.3559999999999999</v>
      </c>
      <c r="Z52" s="6">
        <f t="shared" si="21"/>
        <v>1.085</v>
      </c>
      <c r="AA52" s="6">
        <f t="shared" si="22"/>
        <v>5.11252</v>
      </c>
      <c r="AB52" s="6">
        <f t="shared" si="23"/>
        <v>5.11252</v>
      </c>
      <c r="AC52" s="7" t="str">
        <f t="shared" si="24"/>
        <v>Moderate friction</v>
      </c>
    </row>
    <row r="53" spans="1:29" x14ac:dyDescent="0.35">
      <c r="A53" s="2" t="s">
        <v>92</v>
      </c>
      <c r="B53" s="11">
        <v>0</v>
      </c>
      <c r="C53" s="11">
        <v>39018</v>
      </c>
      <c r="D53" s="11" t="str">
        <f>_xlfn.XLOOKUP(C53,'Dealer Operations'!B:B,'Dealer Operations'!C:C,"Not Found")</f>
        <v>Huntington Beach Hyundai</v>
      </c>
      <c r="E53" s="11" t="str">
        <f>_xlfn.XLOOKUP(C54,'Dealer Operations'!B:B,'Dealer Operations'!D:D,"Not Found")</f>
        <v>Fred Mercury</v>
      </c>
      <c r="F53" s="26">
        <f>_xlfn.XLOOKUP(A53,'Dealer Operations'!A:A,'Dealer Operations'!E:E,"Not Found")</f>
        <v>46136</v>
      </c>
      <c r="G53" s="3">
        <v>19</v>
      </c>
      <c r="H53" s="3">
        <v>3</v>
      </c>
      <c r="I53" s="2" t="s">
        <v>29</v>
      </c>
      <c r="J53" s="3">
        <f>_xlfn.XLOOKUP(C53,'Dealer Operations'!B:B,'Dealer Operations'!I:I,"Not Found")</f>
        <v>73</v>
      </c>
      <c r="K53" s="4">
        <f>_xlfn.XLOOKUP(C53,'Dealer Operations'!B:B,'Dealer Operations'!J:J,"Not Found")</f>
        <v>9.9</v>
      </c>
      <c r="L53" s="4">
        <f>_xlfn.XLOOKUP(C53,'Dealer Operations'!B:B,'Dealer Operations'!K:K,"Not Found")</f>
        <v>79</v>
      </c>
      <c r="M53" s="3">
        <v>7</v>
      </c>
      <c r="N53" s="3">
        <v>1</v>
      </c>
      <c r="O53" s="3">
        <v>11</v>
      </c>
      <c r="P53" s="3">
        <v>1</v>
      </c>
      <c r="Q53" s="6">
        <f t="shared" si="13"/>
        <v>1.6</v>
      </c>
      <c r="R53" s="6">
        <f t="shared" si="14"/>
        <v>1.3</v>
      </c>
      <c r="S53" s="6">
        <f t="shared" si="15"/>
        <v>1.75</v>
      </c>
      <c r="T53" s="6">
        <f t="shared" si="16"/>
        <v>3.25</v>
      </c>
      <c r="U53" s="6">
        <f t="shared" si="17"/>
        <v>1.25</v>
      </c>
      <c r="V53" s="6">
        <f t="shared" si="12"/>
        <v>1.1000000000000001</v>
      </c>
      <c r="W53" s="6">
        <f t="shared" si="18"/>
        <v>1.2</v>
      </c>
      <c r="X53" s="6">
        <f t="shared" si="19"/>
        <v>1.25</v>
      </c>
      <c r="Y53" s="6">
        <f t="shared" si="20"/>
        <v>3.3017500000000002</v>
      </c>
      <c r="Z53" s="6">
        <f t="shared" si="21"/>
        <v>1.1725000000000001</v>
      </c>
      <c r="AA53" s="6">
        <f t="shared" si="22"/>
        <v>4.8391273437500004</v>
      </c>
      <c r="AB53" s="6">
        <f t="shared" si="23"/>
        <v>4.8391273437500004</v>
      </c>
      <c r="AC53" s="7" t="str">
        <f t="shared" si="24"/>
        <v>Moderate friction</v>
      </c>
    </row>
    <row r="54" spans="1:29" x14ac:dyDescent="0.35">
      <c r="A54" s="2" t="s">
        <v>93</v>
      </c>
      <c r="B54" s="11">
        <v>0</v>
      </c>
      <c r="C54" s="11">
        <v>99214</v>
      </c>
      <c r="D54" s="11" t="str">
        <f>_xlfn.XLOOKUP(C54,'Dealer Operations'!B:B,'Dealer Operations'!C:C,"Not Found")</f>
        <v>Temecula Hyundai</v>
      </c>
      <c r="E54" s="11" t="str">
        <f>_xlfn.XLOOKUP(C55,'Dealer Operations'!B:B,'Dealer Operations'!D:D,"Not Found")</f>
        <v>Fred Mercury</v>
      </c>
      <c r="F54" s="26">
        <f>_xlfn.XLOOKUP(A54,'Dealer Operations'!A:A,'Dealer Operations'!E:E,"Not Found")</f>
        <v>46142</v>
      </c>
      <c r="G54" s="3">
        <v>13</v>
      </c>
      <c r="H54" s="3">
        <v>2</v>
      </c>
      <c r="I54" s="2" t="s">
        <v>31</v>
      </c>
      <c r="J54" s="3">
        <f>_xlfn.XLOOKUP(C54,'Dealer Operations'!B:B,'Dealer Operations'!I:I,"Not Found")</f>
        <v>68</v>
      </c>
      <c r="K54" s="4">
        <f>_xlfn.XLOOKUP(C54,'Dealer Operations'!B:B,'Dealer Operations'!J:J,"Not Found")</f>
        <v>8.4</v>
      </c>
      <c r="L54" s="4">
        <f>_xlfn.XLOOKUP(C54,'Dealer Operations'!B:B,'Dealer Operations'!K:K,"Not Found")</f>
        <v>88</v>
      </c>
      <c r="M54" s="3">
        <v>5</v>
      </c>
      <c r="N54" s="3">
        <v>4</v>
      </c>
      <c r="O54" s="3">
        <v>7</v>
      </c>
      <c r="P54" s="3">
        <v>4</v>
      </c>
      <c r="Q54" s="6">
        <f t="shared" si="13"/>
        <v>1.3</v>
      </c>
      <c r="R54" s="6">
        <f t="shared" si="14"/>
        <v>1.1499999999999999</v>
      </c>
      <c r="S54" s="6">
        <f t="shared" si="15"/>
        <v>4</v>
      </c>
      <c r="T54" s="6">
        <f t="shared" si="16"/>
        <v>2.5</v>
      </c>
      <c r="U54" s="6">
        <f t="shared" si="17"/>
        <v>1.25</v>
      </c>
      <c r="V54" s="6">
        <f t="shared" si="12"/>
        <v>1.1000000000000001</v>
      </c>
      <c r="W54" s="6">
        <f t="shared" si="18"/>
        <v>1.1000000000000001</v>
      </c>
      <c r="X54" s="6">
        <f t="shared" si="19"/>
        <v>1.1000000000000001</v>
      </c>
      <c r="Y54" s="6">
        <f t="shared" si="20"/>
        <v>4.0884999999999998</v>
      </c>
      <c r="Z54" s="6">
        <f t="shared" si="21"/>
        <v>1.1525000000000001</v>
      </c>
      <c r="AA54" s="6">
        <f t="shared" si="22"/>
        <v>5.1831958750000009</v>
      </c>
      <c r="AB54" s="6">
        <f t="shared" si="23"/>
        <v>5.1831958750000009</v>
      </c>
      <c r="AC54" s="7" t="str">
        <f t="shared" si="24"/>
        <v>Moderate friction</v>
      </c>
    </row>
    <row r="55" spans="1:29" x14ac:dyDescent="0.35">
      <c r="A55" s="2" t="s">
        <v>94</v>
      </c>
      <c r="B55" s="11">
        <v>0</v>
      </c>
      <c r="C55" s="11">
        <v>11425</v>
      </c>
      <c r="D55" s="11" t="str">
        <f>_xlfn.XLOOKUP(C55,'Dealer Operations'!B:B,'Dealer Operations'!C:C,"Not Found")</f>
        <v>Keyes Hyundai</v>
      </c>
      <c r="E55" s="11" t="str">
        <f>_xlfn.XLOOKUP(C56,'Dealer Operations'!B:B,'Dealer Operations'!D:D,"Not Found")</f>
        <v>Shohei Ohtani</v>
      </c>
      <c r="F55" s="26">
        <f>_xlfn.XLOOKUP(A55,'Dealer Operations'!A:A,'Dealer Operations'!E:E,"Not Found")</f>
        <v>46132</v>
      </c>
      <c r="G55" s="3">
        <v>23</v>
      </c>
      <c r="H55" s="3">
        <v>2</v>
      </c>
      <c r="I55" s="2" t="s">
        <v>29</v>
      </c>
      <c r="J55" s="3">
        <f>_xlfn.XLOOKUP(C55,'Dealer Operations'!B:B,'Dealer Operations'!I:I,"Not Found")</f>
        <v>86</v>
      </c>
      <c r="K55" s="4">
        <f>_xlfn.XLOOKUP(C55,'Dealer Operations'!B:B,'Dealer Operations'!J:J,"Not Found")</f>
        <v>6.8</v>
      </c>
      <c r="L55" s="4">
        <f>_xlfn.XLOOKUP(C55,'Dealer Operations'!B:B,'Dealer Operations'!K:K,"Not Found")</f>
        <v>89</v>
      </c>
      <c r="M55" s="3">
        <v>10</v>
      </c>
      <c r="N55" s="3">
        <v>0</v>
      </c>
      <c r="O55" s="3">
        <v>8</v>
      </c>
      <c r="P55" s="3">
        <v>4</v>
      </c>
      <c r="Q55" s="6">
        <f t="shared" si="13"/>
        <v>1.6</v>
      </c>
      <c r="R55" s="6">
        <f t="shared" si="14"/>
        <v>1.1499999999999999</v>
      </c>
      <c r="S55" s="6">
        <f t="shared" si="15"/>
        <v>1</v>
      </c>
      <c r="T55" s="6">
        <f t="shared" si="16"/>
        <v>3.75</v>
      </c>
      <c r="U55" s="6">
        <f t="shared" si="17"/>
        <v>1</v>
      </c>
      <c r="V55" s="6">
        <f t="shared" si="12"/>
        <v>1.1000000000000001</v>
      </c>
      <c r="W55" s="6">
        <f t="shared" si="18"/>
        <v>1.1000000000000001</v>
      </c>
      <c r="X55" s="6">
        <f t="shared" si="19"/>
        <v>1.5</v>
      </c>
      <c r="Y55" s="6">
        <f t="shared" si="20"/>
        <v>2.7457499999999997</v>
      </c>
      <c r="Z55" s="6">
        <f t="shared" si="21"/>
        <v>1.0649999999999999</v>
      </c>
      <c r="AA55" s="6">
        <f t="shared" si="22"/>
        <v>4.3863356249999992</v>
      </c>
      <c r="AB55" s="6">
        <f t="shared" si="23"/>
        <v>4.3863356249999992</v>
      </c>
      <c r="AC55" s="7" t="str">
        <f t="shared" si="24"/>
        <v>Moderate friction</v>
      </c>
    </row>
    <row r="56" spans="1:29" x14ac:dyDescent="0.35">
      <c r="A56" s="2" t="s">
        <v>95</v>
      </c>
      <c r="B56" s="11">
        <v>0</v>
      </c>
      <c r="C56" s="11">
        <v>39018</v>
      </c>
      <c r="D56" s="11" t="str">
        <f>_xlfn.XLOOKUP(C56,'Dealer Operations'!B:B,'Dealer Operations'!C:C,"Not Found")</f>
        <v>Huntington Beach Hyundai</v>
      </c>
      <c r="E56" s="11" t="str">
        <f>_xlfn.XLOOKUP(C57,'Dealer Operations'!B:B,'Dealer Operations'!D:D,"Not Found")</f>
        <v>Shohei Ohtani</v>
      </c>
      <c r="F56" s="26">
        <f>_xlfn.XLOOKUP(A56,'Dealer Operations'!A:A,'Dealer Operations'!E:E,"Not Found")</f>
        <v>46153</v>
      </c>
      <c r="G56" s="3">
        <v>2</v>
      </c>
      <c r="H56" s="3">
        <v>5</v>
      </c>
      <c r="I56" s="2" t="s">
        <v>29</v>
      </c>
      <c r="J56" s="3">
        <f>_xlfn.XLOOKUP(C56,'Dealer Operations'!B:B,'Dealer Operations'!I:I,"Not Found")</f>
        <v>73</v>
      </c>
      <c r="K56" s="4">
        <f>_xlfn.XLOOKUP(C56,'Dealer Operations'!B:B,'Dealer Operations'!J:J,"Not Found")</f>
        <v>9.9</v>
      </c>
      <c r="L56" s="4">
        <f>_xlfn.XLOOKUP(C56,'Dealer Operations'!B:B,'Dealer Operations'!K:K,"Not Found")</f>
        <v>79</v>
      </c>
      <c r="M56" s="3">
        <v>8</v>
      </c>
      <c r="N56" s="3">
        <v>2</v>
      </c>
      <c r="O56" s="3">
        <v>2</v>
      </c>
      <c r="P56" s="3">
        <v>0</v>
      </c>
      <c r="Q56" s="6">
        <f t="shared" si="13"/>
        <v>1.6</v>
      </c>
      <c r="R56" s="6">
        <f t="shared" si="14"/>
        <v>1.45</v>
      </c>
      <c r="S56" s="6">
        <f t="shared" si="15"/>
        <v>2.5</v>
      </c>
      <c r="T56" s="6">
        <f t="shared" si="16"/>
        <v>3.75</v>
      </c>
      <c r="U56" s="6">
        <f t="shared" si="17"/>
        <v>1.25</v>
      </c>
      <c r="V56" s="6">
        <f t="shared" si="12"/>
        <v>1.1000000000000001</v>
      </c>
      <c r="W56" s="6">
        <f t="shared" si="18"/>
        <v>1.2</v>
      </c>
      <c r="X56" s="6">
        <f t="shared" si="19"/>
        <v>1</v>
      </c>
      <c r="Y56" s="6">
        <f t="shared" si="20"/>
        <v>4.5075000000000003</v>
      </c>
      <c r="Z56" s="6">
        <f t="shared" si="21"/>
        <v>1.1725000000000001</v>
      </c>
      <c r="AA56" s="6">
        <f t="shared" si="22"/>
        <v>5.2850437500000007</v>
      </c>
      <c r="AB56" s="6">
        <f t="shared" si="23"/>
        <v>5.2850437500000007</v>
      </c>
      <c r="AC56" s="7" t="str">
        <f t="shared" si="24"/>
        <v>Moderate friction</v>
      </c>
    </row>
    <row r="57" spans="1:29" x14ac:dyDescent="0.35">
      <c r="A57" s="2" t="s">
        <v>96</v>
      </c>
      <c r="B57" s="11">
        <v>0</v>
      </c>
      <c r="C57" s="11">
        <v>20318</v>
      </c>
      <c r="D57" s="11" t="str">
        <f>_xlfn.XLOOKUP(C57,'Dealer Operations'!B:B,'Dealer Operations'!C:C,"Not Found")</f>
        <v>Ontario Hyundai</v>
      </c>
      <c r="E57" s="11" t="str">
        <f>_xlfn.XLOOKUP(C58,'Dealer Operations'!B:B,'Dealer Operations'!D:D,"Not Found")</f>
        <v>Fred Mercury</v>
      </c>
      <c r="F57" s="26">
        <f>_xlfn.XLOOKUP(A57,'Dealer Operations'!A:A,'Dealer Operations'!E:E,"Not Found")</f>
        <v>46122</v>
      </c>
      <c r="G57" s="3">
        <v>33</v>
      </c>
      <c r="H57" s="3">
        <v>0</v>
      </c>
      <c r="I57" s="2" t="s">
        <v>38</v>
      </c>
      <c r="J57" s="3">
        <f>_xlfn.XLOOKUP(C57,'Dealer Operations'!B:B,'Dealer Operations'!I:I,"Not Found")</f>
        <v>86</v>
      </c>
      <c r="K57" s="4">
        <f>_xlfn.XLOOKUP(C57,'Dealer Operations'!B:B,'Dealer Operations'!J:J,"Not Found")</f>
        <v>7.4</v>
      </c>
      <c r="L57" s="4">
        <f>_xlfn.XLOOKUP(C57,'Dealer Operations'!B:B,'Dealer Operations'!K:K,"Not Found")</f>
        <v>94</v>
      </c>
      <c r="M57" s="3">
        <v>4</v>
      </c>
      <c r="N57" s="3">
        <v>3</v>
      </c>
      <c r="O57" s="3">
        <v>3</v>
      </c>
      <c r="P57" s="3">
        <v>3</v>
      </c>
      <c r="Q57" s="6">
        <f t="shared" si="13"/>
        <v>0.85</v>
      </c>
      <c r="R57" s="6">
        <f t="shared" si="14"/>
        <v>1</v>
      </c>
      <c r="S57" s="6">
        <f t="shared" si="15"/>
        <v>3.25</v>
      </c>
      <c r="T57" s="6">
        <f t="shared" si="16"/>
        <v>2.5</v>
      </c>
      <c r="U57" s="6">
        <f t="shared" si="17"/>
        <v>1</v>
      </c>
      <c r="V57" s="6">
        <f t="shared" si="12"/>
        <v>1.1000000000000001</v>
      </c>
      <c r="W57" s="6">
        <f t="shared" si="18"/>
        <v>1.1000000000000001</v>
      </c>
      <c r="X57" s="6">
        <f t="shared" si="19"/>
        <v>2</v>
      </c>
      <c r="Y57" s="6">
        <f t="shared" si="20"/>
        <v>2.7951250000000001</v>
      </c>
      <c r="Z57" s="6">
        <f t="shared" si="21"/>
        <v>1.0649999999999999</v>
      </c>
      <c r="AA57" s="6">
        <f t="shared" si="22"/>
        <v>5.9536162499999996</v>
      </c>
      <c r="AB57" s="6">
        <f t="shared" si="23"/>
        <v>5.9536162499999996</v>
      </c>
      <c r="AC57" s="7" t="str">
        <f t="shared" si="24"/>
        <v>Moderate friction</v>
      </c>
    </row>
    <row r="58" spans="1:29" x14ac:dyDescent="0.35">
      <c r="A58" s="2" t="s">
        <v>97</v>
      </c>
      <c r="B58" s="11">
        <v>0</v>
      </c>
      <c r="C58" s="11">
        <v>44117</v>
      </c>
      <c r="D58" s="11" t="str">
        <f>_xlfn.XLOOKUP(C58,'Dealer Operations'!B:B,'Dealer Operations'!C:C,"Not Found")</f>
        <v>Desert Hyundai</v>
      </c>
      <c r="E58" s="11" t="str">
        <f>_xlfn.XLOOKUP(C59,'Dealer Operations'!B:B,'Dealer Operations'!D:D,"Not Found")</f>
        <v>Fred Mercury</v>
      </c>
      <c r="F58" s="26">
        <f>_xlfn.XLOOKUP(A58,'Dealer Operations'!A:A,'Dealer Operations'!E:E,"Not Found")</f>
        <v>46135</v>
      </c>
      <c r="G58" s="3">
        <v>20</v>
      </c>
      <c r="H58" s="3">
        <v>4</v>
      </c>
      <c r="I58" s="2" t="s">
        <v>29</v>
      </c>
      <c r="J58" s="3">
        <f>_xlfn.XLOOKUP(C58,'Dealer Operations'!B:B,'Dealer Operations'!I:I,"Not Found")</f>
        <v>58</v>
      </c>
      <c r="K58" s="4">
        <f>_xlfn.XLOOKUP(C58,'Dealer Operations'!B:B,'Dealer Operations'!J:J,"Not Found")</f>
        <v>10.5</v>
      </c>
      <c r="L58" s="4">
        <f>_xlfn.XLOOKUP(C58,'Dealer Operations'!B:B,'Dealer Operations'!K:K,"Not Found")</f>
        <v>49</v>
      </c>
      <c r="M58" s="3">
        <v>2</v>
      </c>
      <c r="N58" s="3">
        <v>2</v>
      </c>
      <c r="O58" s="3">
        <v>9</v>
      </c>
      <c r="P58" s="3">
        <v>3</v>
      </c>
      <c r="Q58" s="6">
        <f t="shared" si="13"/>
        <v>1.6</v>
      </c>
      <c r="R58" s="6">
        <f t="shared" si="14"/>
        <v>1.45</v>
      </c>
      <c r="S58" s="6">
        <f t="shared" si="15"/>
        <v>2.5</v>
      </c>
      <c r="T58" s="6">
        <f t="shared" si="16"/>
        <v>1.75</v>
      </c>
      <c r="U58" s="6">
        <f t="shared" si="17"/>
        <v>1.35</v>
      </c>
      <c r="V58" s="6">
        <f t="shared" si="12"/>
        <v>1.3</v>
      </c>
      <c r="W58" s="6">
        <f t="shared" si="18"/>
        <v>1.4</v>
      </c>
      <c r="X58" s="6">
        <f t="shared" si="19"/>
        <v>1.25</v>
      </c>
      <c r="Y58" s="6">
        <f t="shared" si="20"/>
        <v>3.3055000000000003</v>
      </c>
      <c r="Z58" s="6">
        <f t="shared" si="21"/>
        <v>1.3375000000000001</v>
      </c>
      <c r="AA58" s="6">
        <f t="shared" si="22"/>
        <v>5.5263828125000014</v>
      </c>
      <c r="AB58" s="6">
        <f t="shared" si="23"/>
        <v>5.5263828125000014</v>
      </c>
      <c r="AC58" s="7" t="str">
        <f t="shared" si="24"/>
        <v>Moderate friction</v>
      </c>
    </row>
    <row r="59" spans="1:29" x14ac:dyDescent="0.35">
      <c r="A59" s="2" t="s">
        <v>98</v>
      </c>
      <c r="B59" s="11">
        <v>0</v>
      </c>
      <c r="C59" s="11">
        <v>44117</v>
      </c>
      <c r="D59" s="11" t="str">
        <f>_xlfn.XLOOKUP(C59,'Dealer Operations'!B:B,'Dealer Operations'!C:C,"Not Found")</f>
        <v>Desert Hyundai</v>
      </c>
      <c r="E59" s="11" t="str">
        <f>_xlfn.XLOOKUP(C60,'Dealer Operations'!B:B,'Dealer Operations'!D:D,"Not Found")</f>
        <v>Shohei Ohtani</v>
      </c>
      <c r="F59" s="26">
        <f>_xlfn.XLOOKUP(A59,'Dealer Operations'!A:A,'Dealer Operations'!E:E,"Not Found")</f>
        <v>46145</v>
      </c>
      <c r="G59" s="3">
        <v>10</v>
      </c>
      <c r="H59" s="3">
        <v>3</v>
      </c>
      <c r="I59" s="2" t="s">
        <v>38</v>
      </c>
      <c r="J59" s="3">
        <f>_xlfn.XLOOKUP(C59,'Dealer Operations'!B:B,'Dealer Operations'!I:I,"Not Found")</f>
        <v>58</v>
      </c>
      <c r="K59" s="4">
        <f>_xlfn.XLOOKUP(C59,'Dealer Operations'!B:B,'Dealer Operations'!J:J,"Not Found")</f>
        <v>10.5</v>
      </c>
      <c r="L59" s="4">
        <f>_xlfn.XLOOKUP(C59,'Dealer Operations'!B:B,'Dealer Operations'!K:K,"Not Found")</f>
        <v>49</v>
      </c>
      <c r="M59" s="3">
        <v>4</v>
      </c>
      <c r="N59" s="3">
        <v>7</v>
      </c>
      <c r="O59" s="3">
        <v>10</v>
      </c>
      <c r="P59" s="3">
        <v>3</v>
      </c>
      <c r="Q59" s="6">
        <f t="shared" si="13"/>
        <v>0.85</v>
      </c>
      <c r="R59" s="6">
        <f t="shared" si="14"/>
        <v>1.3</v>
      </c>
      <c r="S59" s="6">
        <f t="shared" si="15"/>
        <v>4</v>
      </c>
      <c r="T59" s="6">
        <f t="shared" si="16"/>
        <v>2.5</v>
      </c>
      <c r="U59" s="6">
        <f t="shared" si="17"/>
        <v>1.35</v>
      </c>
      <c r="V59" s="6">
        <f t="shared" si="12"/>
        <v>1.3</v>
      </c>
      <c r="W59" s="6">
        <f t="shared" si="18"/>
        <v>1.4</v>
      </c>
      <c r="X59" s="6">
        <f t="shared" si="19"/>
        <v>1.1000000000000001</v>
      </c>
      <c r="Y59" s="6">
        <f t="shared" si="20"/>
        <v>3.8845000000000001</v>
      </c>
      <c r="Z59" s="6">
        <f t="shared" si="21"/>
        <v>1.3375000000000001</v>
      </c>
      <c r="AA59" s="6">
        <f t="shared" si="22"/>
        <v>5.715070625000001</v>
      </c>
      <c r="AB59" s="6">
        <f t="shared" si="23"/>
        <v>5.715070625000001</v>
      </c>
      <c r="AC59" s="7" t="str">
        <f t="shared" si="24"/>
        <v>Moderate friction</v>
      </c>
    </row>
    <row r="60" spans="1:29" x14ac:dyDescent="0.35">
      <c r="A60" s="2" t="s">
        <v>99</v>
      </c>
      <c r="B60" s="11">
        <v>0</v>
      </c>
      <c r="C60" s="11">
        <v>66520</v>
      </c>
      <c r="D60" s="11" t="str">
        <f>_xlfn.XLOOKUP(C60,'Dealer Operations'!B:B,'Dealer Operations'!C:C,"Not Found")</f>
        <v>Hyundai Santa Monica</v>
      </c>
      <c r="E60" s="11" t="str">
        <f>_xlfn.XLOOKUP(C61,'Dealer Operations'!B:B,'Dealer Operations'!D:D,"Not Found")</f>
        <v>Fred Mercury</v>
      </c>
      <c r="F60" s="26">
        <f>_xlfn.XLOOKUP(A60,'Dealer Operations'!A:A,'Dealer Operations'!E:E,"Not Found")</f>
        <v>46124</v>
      </c>
      <c r="G60" s="3">
        <v>31</v>
      </c>
      <c r="H60" s="3">
        <v>2</v>
      </c>
      <c r="I60" s="2" t="s">
        <v>29</v>
      </c>
      <c r="J60" s="3">
        <f>_xlfn.XLOOKUP(C60,'Dealer Operations'!B:B,'Dealer Operations'!I:I,"Not Found")</f>
        <v>82</v>
      </c>
      <c r="K60" s="4">
        <f>_xlfn.XLOOKUP(C60,'Dealer Operations'!B:B,'Dealer Operations'!J:J,"Not Found")</f>
        <v>10.1</v>
      </c>
      <c r="L60" s="4">
        <f>_xlfn.XLOOKUP(C60,'Dealer Operations'!B:B,'Dealer Operations'!K:K,"Not Found")</f>
        <v>56</v>
      </c>
      <c r="M60" s="3">
        <v>5</v>
      </c>
      <c r="N60" s="3">
        <v>0</v>
      </c>
      <c r="O60" s="3">
        <v>7</v>
      </c>
      <c r="P60" s="3">
        <v>3</v>
      </c>
      <c r="Q60" s="6">
        <f t="shared" si="13"/>
        <v>1.6</v>
      </c>
      <c r="R60" s="6">
        <f t="shared" si="14"/>
        <v>1.1499999999999999</v>
      </c>
      <c r="S60" s="6">
        <f t="shared" si="15"/>
        <v>1</v>
      </c>
      <c r="T60" s="6">
        <f t="shared" si="16"/>
        <v>2.5</v>
      </c>
      <c r="U60" s="6">
        <f t="shared" si="17"/>
        <v>1.1000000000000001</v>
      </c>
      <c r="V60" s="6">
        <f t="shared" si="12"/>
        <v>1.3</v>
      </c>
      <c r="W60" s="6">
        <f t="shared" si="18"/>
        <v>1.4</v>
      </c>
      <c r="X60" s="6">
        <f t="shared" si="19"/>
        <v>2</v>
      </c>
      <c r="Y60" s="6">
        <f t="shared" si="20"/>
        <v>2.0920000000000001</v>
      </c>
      <c r="Z60" s="6">
        <f t="shared" si="21"/>
        <v>1.25</v>
      </c>
      <c r="AA60" s="6">
        <f t="shared" si="22"/>
        <v>5.23</v>
      </c>
      <c r="AB60" s="6">
        <f t="shared" si="23"/>
        <v>5.23</v>
      </c>
      <c r="AC60" s="7" t="str">
        <f t="shared" si="24"/>
        <v>Moderate friction</v>
      </c>
    </row>
    <row r="61" spans="1:29" x14ac:dyDescent="0.35">
      <c r="A61" s="2" t="s">
        <v>100</v>
      </c>
      <c r="B61" s="11">
        <v>0</v>
      </c>
      <c r="C61" s="11">
        <v>77841</v>
      </c>
      <c r="D61" s="11" t="str">
        <f>_xlfn.XLOOKUP(C61,'Dealer Operations'!B:B,'Dealer Operations'!C:C,"Not Found")</f>
        <v>Victorville Hyundai</v>
      </c>
      <c r="E61" s="11" t="str">
        <f>_xlfn.XLOOKUP(C62,'Dealer Operations'!B:B,'Dealer Operations'!D:D,"Not Found")</f>
        <v>Shohei Ohtani</v>
      </c>
      <c r="F61" s="26">
        <f>_xlfn.XLOOKUP(A61,'Dealer Operations'!A:A,'Dealer Operations'!E:E,"Not Found")</f>
        <v>46132</v>
      </c>
      <c r="G61" s="3">
        <v>23</v>
      </c>
      <c r="H61" s="3">
        <v>1</v>
      </c>
      <c r="I61" s="2" t="s">
        <v>38</v>
      </c>
      <c r="J61" s="3">
        <f>_xlfn.XLOOKUP(C61,'Dealer Operations'!B:B,'Dealer Operations'!I:I,"Not Found")</f>
        <v>86</v>
      </c>
      <c r="K61" s="4">
        <f>_xlfn.XLOOKUP(C61,'Dealer Operations'!B:B,'Dealer Operations'!J:J,"Not Found")</f>
        <v>8</v>
      </c>
      <c r="L61" s="4">
        <f>_xlfn.XLOOKUP(C61,'Dealer Operations'!B:B,'Dealer Operations'!K:K,"Not Found")</f>
        <v>80</v>
      </c>
      <c r="M61" s="3">
        <v>4</v>
      </c>
      <c r="N61" s="3">
        <v>5</v>
      </c>
      <c r="O61" s="3">
        <v>6</v>
      </c>
      <c r="P61" s="3">
        <v>1</v>
      </c>
      <c r="Q61" s="6">
        <f t="shared" si="13"/>
        <v>0.85</v>
      </c>
      <c r="R61" s="6">
        <f t="shared" si="14"/>
        <v>1</v>
      </c>
      <c r="S61" s="6">
        <f t="shared" si="15"/>
        <v>4</v>
      </c>
      <c r="T61" s="6">
        <f t="shared" si="16"/>
        <v>2.5</v>
      </c>
      <c r="U61" s="6">
        <f t="shared" si="17"/>
        <v>1</v>
      </c>
      <c r="V61" s="6">
        <f t="shared" si="12"/>
        <v>1.1000000000000001</v>
      </c>
      <c r="W61" s="6">
        <f t="shared" si="18"/>
        <v>1.2</v>
      </c>
      <c r="X61" s="6">
        <f t="shared" si="19"/>
        <v>1.5</v>
      </c>
      <c r="Y61" s="6">
        <f t="shared" si="20"/>
        <v>3.2214999999999998</v>
      </c>
      <c r="Z61" s="6">
        <f t="shared" si="21"/>
        <v>1.085</v>
      </c>
      <c r="AA61" s="6">
        <f t="shared" si="22"/>
        <v>5.2429912499999993</v>
      </c>
      <c r="AB61" s="6">
        <f t="shared" si="23"/>
        <v>5.2429912499999993</v>
      </c>
      <c r="AC61" s="7" t="str">
        <f t="shared" si="24"/>
        <v>Moderate friction</v>
      </c>
    </row>
    <row r="62" spans="1:29" x14ac:dyDescent="0.35">
      <c r="A62" s="2" t="s">
        <v>101</v>
      </c>
      <c r="B62" s="11">
        <v>0</v>
      </c>
      <c r="C62" s="11">
        <v>66520</v>
      </c>
      <c r="D62" s="11" t="str">
        <f>_xlfn.XLOOKUP(C62,'Dealer Operations'!B:B,'Dealer Operations'!C:C,"Not Found")</f>
        <v>Hyundai Santa Monica</v>
      </c>
      <c r="E62" s="11" t="str">
        <f>_xlfn.XLOOKUP(C63,'Dealer Operations'!B:B,'Dealer Operations'!D:D,"Not Found")</f>
        <v>Shohei Ohtani</v>
      </c>
      <c r="F62" s="26">
        <f>_xlfn.XLOOKUP(A62,'Dealer Operations'!A:A,'Dealer Operations'!E:E,"Not Found")</f>
        <v>46141</v>
      </c>
      <c r="G62" s="3">
        <v>14</v>
      </c>
      <c r="H62" s="3">
        <v>0</v>
      </c>
      <c r="I62" s="2" t="s">
        <v>31</v>
      </c>
      <c r="J62" s="3">
        <f>_xlfn.XLOOKUP(C62,'Dealer Operations'!B:B,'Dealer Operations'!I:I,"Not Found")</f>
        <v>82</v>
      </c>
      <c r="K62" s="4">
        <f>_xlfn.XLOOKUP(C62,'Dealer Operations'!B:B,'Dealer Operations'!J:J,"Not Found")</f>
        <v>10.1</v>
      </c>
      <c r="L62" s="4">
        <f>_xlfn.XLOOKUP(C62,'Dealer Operations'!B:B,'Dealer Operations'!K:K,"Not Found")</f>
        <v>56</v>
      </c>
      <c r="M62" s="3">
        <v>5</v>
      </c>
      <c r="N62" s="3">
        <v>5</v>
      </c>
      <c r="O62" s="3">
        <v>3</v>
      </c>
      <c r="P62" s="3">
        <v>3</v>
      </c>
      <c r="Q62" s="6">
        <f t="shared" si="13"/>
        <v>1.3</v>
      </c>
      <c r="R62" s="6">
        <f t="shared" si="14"/>
        <v>1</v>
      </c>
      <c r="S62" s="6">
        <f t="shared" si="15"/>
        <v>4</v>
      </c>
      <c r="T62" s="6">
        <f t="shared" si="16"/>
        <v>2.5</v>
      </c>
      <c r="U62" s="6">
        <f t="shared" si="17"/>
        <v>1.1000000000000001</v>
      </c>
      <c r="V62" s="6">
        <f t="shared" si="12"/>
        <v>1.3</v>
      </c>
      <c r="W62" s="6">
        <f t="shared" si="18"/>
        <v>1.4</v>
      </c>
      <c r="X62" s="6">
        <f t="shared" si="19"/>
        <v>1.1000000000000001</v>
      </c>
      <c r="Y62" s="6">
        <f t="shared" si="20"/>
        <v>3.7569999999999997</v>
      </c>
      <c r="Z62" s="6">
        <f t="shared" si="21"/>
        <v>1.25</v>
      </c>
      <c r="AA62" s="6">
        <f t="shared" si="22"/>
        <v>5.1658749999999998</v>
      </c>
      <c r="AB62" s="6">
        <f t="shared" si="23"/>
        <v>5.1658749999999998</v>
      </c>
      <c r="AC62" s="7" t="str">
        <f t="shared" si="24"/>
        <v>Moderate friction</v>
      </c>
    </row>
    <row r="63" spans="1:29" x14ac:dyDescent="0.35">
      <c r="A63" s="2" t="s">
        <v>102</v>
      </c>
      <c r="B63" s="11">
        <v>0</v>
      </c>
      <c r="C63" s="11">
        <v>55102</v>
      </c>
      <c r="D63" s="11" t="str">
        <f>_xlfn.XLOOKUP(C63,'Dealer Operations'!B:B,'Dealer Operations'!C:C,"Not Found")</f>
        <v>Riverside Hyundai</v>
      </c>
      <c r="E63" s="11" t="str">
        <f>_xlfn.XLOOKUP(C64,'Dealer Operations'!B:B,'Dealer Operations'!D:D,"Not Found")</f>
        <v>Fred Mercury</v>
      </c>
      <c r="F63" s="26">
        <f>_xlfn.XLOOKUP(A63,'Dealer Operations'!A:A,'Dealer Operations'!E:E,"Not Found")</f>
        <v>46149</v>
      </c>
      <c r="G63" s="3">
        <v>6</v>
      </c>
      <c r="H63" s="3">
        <v>4</v>
      </c>
      <c r="I63" s="2" t="s">
        <v>38</v>
      </c>
      <c r="J63" s="3">
        <f>_xlfn.XLOOKUP(C63,'Dealer Operations'!B:B,'Dealer Operations'!I:I,"Not Found")</f>
        <v>94</v>
      </c>
      <c r="K63" s="4">
        <f>_xlfn.XLOOKUP(C63,'Dealer Operations'!B:B,'Dealer Operations'!J:J,"Not Found")</f>
        <v>8.4</v>
      </c>
      <c r="L63" s="4">
        <f>_xlfn.XLOOKUP(C63,'Dealer Operations'!B:B,'Dealer Operations'!K:K,"Not Found")</f>
        <v>87</v>
      </c>
      <c r="M63" s="3">
        <v>5</v>
      </c>
      <c r="N63" s="3">
        <v>7</v>
      </c>
      <c r="O63" s="3">
        <v>9</v>
      </c>
      <c r="P63" s="3">
        <v>2</v>
      </c>
      <c r="Q63" s="6">
        <f t="shared" si="13"/>
        <v>0.85</v>
      </c>
      <c r="R63" s="6">
        <f t="shared" si="14"/>
        <v>1.45</v>
      </c>
      <c r="S63" s="6">
        <f t="shared" si="15"/>
        <v>4</v>
      </c>
      <c r="T63" s="6">
        <f t="shared" si="16"/>
        <v>2.5</v>
      </c>
      <c r="U63" s="6">
        <f t="shared" si="17"/>
        <v>1</v>
      </c>
      <c r="V63" s="6">
        <f t="shared" si="12"/>
        <v>1.1000000000000001</v>
      </c>
      <c r="W63" s="6">
        <f t="shared" si="18"/>
        <v>1.1000000000000001</v>
      </c>
      <c r="X63" s="6">
        <f t="shared" si="19"/>
        <v>1</v>
      </c>
      <c r="Y63" s="6">
        <f t="shared" si="20"/>
        <v>4.2160000000000002</v>
      </c>
      <c r="Z63" s="6">
        <f t="shared" si="21"/>
        <v>1.0649999999999999</v>
      </c>
      <c r="AA63" s="6">
        <f t="shared" si="22"/>
        <v>4.4900399999999996</v>
      </c>
      <c r="AB63" s="6">
        <f t="shared" si="23"/>
        <v>4.4900399999999996</v>
      </c>
      <c r="AC63" s="7" t="str">
        <f t="shared" si="24"/>
        <v>Moderate friction</v>
      </c>
    </row>
    <row r="64" spans="1:29" x14ac:dyDescent="0.35">
      <c r="A64" s="2" t="s">
        <v>103</v>
      </c>
      <c r="B64" s="11">
        <v>0</v>
      </c>
      <c r="C64" s="11">
        <v>11425</v>
      </c>
      <c r="D64" s="11" t="str">
        <f>_xlfn.XLOOKUP(C64,'Dealer Operations'!B:B,'Dealer Operations'!C:C,"Not Found")</f>
        <v>Keyes Hyundai</v>
      </c>
      <c r="E64" s="11" t="str">
        <f>_xlfn.XLOOKUP(C65,'Dealer Operations'!B:B,'Dealer Operations'!D:D,"Not Found")</f>
        <v>Fred Mercury</v>
      </c>
      <c r="F64" s="26">
        <f>_xlfn.XLOOKUP(A64,'Dealer Operations'!A:A,'Dealer Operations'!E:E,"Not Found")</f>
        <v>46141</v>
      </c>
      <c r="G64" s="3">
        <v>14</v>
      </c>
      <c r="H64" s="3">
        <v>2</v>
      </c>
      <c r="I64" s="2" t="s">
        <v>38</v>
      </c>
      <c r="J64" s="3">
        <f>_xlfn.XLOOKUP(C64,'Dealer Operations'!B:B,'Dealer Operations'!I:I,"Not Found")</f>
        <v>86</v>
      </c>
      <c r="K64" s="4">
        <f>_xlfn.XLOOKUP(C64,'Dealer Operations'!B:B,'Dealer Operations'!J:J,"Not Found")</f>
        <v>6.8</v>
      </c>
      <c r="L64" s="4">
        <f>_xlfn.XLOOKUP(C64,'Dealer Operations'!B:B,'Dealer Operations'!K:K,"Not Found")</f>
        <v>89</v>
      </c>
      <c r="M64" s="3">
        <v>5</v>
      </c>
      <c r="N64" s="3">
        <v>4</v>
      </c>
      <c r="O64" s="3">
        <v>3</v>
      </c>
      <c r="P64" s="3">
        <v>4</v>
      </c>
      <c r="Q64" s="6">
        <f t="shared" si="13"/>
        <v>0.85</v>
      </c>
      <c r="R64" s="6">
        <f t="shared" si="14"/>
        <v>1.1499999999999999</v>
      </c>
      <c r="S64" s="6">
        <f t="shared" si="15"/>
        <v>4</v>
      </c>
      <c r="T64" s="6">
        <f t="shared" si="16"/>
        <v>2.5</v>
      </c>
      <c r="U64" s="6">
        <f t="shared" si="17"/>
        <v>1</v>
      </c>
      <c r="V64" s="6">
        <f t="shared" si="12"/>
        <v>1.1000000000000001</v>
      </c>
      <c r="W64" s="6">
        <f t="shared" si="18"/>
        <v>1.1000000000000001</v>
      </c>
      <c r="X64" s="6">
        <f t="shared" si="19"/>
        <v>1.1000000000000001</v>
      </c>
      <c r="Y64" s="6">
        <f t="shared" si="20"/>
        <v>3.5529999999999995</v>
      </c>
      <c r="Z64" s="6">
        <f t="shared" si="21"/>
        <v>1.0649999999999999</v>
      </c>
      <c r="AA64" s="6">
        <f t="shared" si="22"/>
        <v>4.1623394999999999</v>
      </c>
      <c r="AB64" s="6">
        <f t="shared" si="23"/>
        <v>4.1623394999999999</v>
      </c>
      <c r="AC64" s="7" t="str">
        <f t="shared" si="24"/>
        <v>Moderate friction</v>
      </c>
    </row>
    <row r="65" spans="1:29" x14ac:dyDescent="0.35">
      <c r="A65" s="2" t="s">
        <v>104</v>
      </c>
      <c r="B65" s="11">
        <v>0</v>
      </c>
      <c r="C65" s="11">
        <v>51244</v>
      </c>
      <c r="D65" s="11" t="str">
        <f>_xlfn.XLOOKUP(C65,'Dealer Operations'!B:B,'Dealer Operations'!C:C,"Not Found")</f>
        <v>Hyundai Long Beach</v>
      </c>
      <c r="E65" s="11" t="str">
        <f>_xlfn.XLOOKUP(C66,'Dealer Operations'!B:B,'Dealer Operations'!D:D,"Not Found")</f>
        <v>Shohei Ohtani</v>
      </c>
      <c r="F65" s="26">
        <f>_xlfn.XLOOKUP(A65,'Dealer Operations'!A:A,'Dealer Operations'!E:E,"Not Found")</f>
        <v>46132</v>
      </c>
      <c r="G65" s="3">
        <v>23</v>
      </c>
      <c r="H65" s="3">
        <v>0</v>
      </c>
      <c r="I65" s="2" t="s">
        <v>38</v>
      </c>
      <c r="J65" s="3">
        <f>_xlfn.XLOOKUP(C65,'Dealer Operations'!B:B,'Dealer Operations'!I:I,"Not Found")</f>
        <v>82</v>
      </c>
      <c r="K65" s="4">
        <f>_xlfn.XLOOKUP(C65,'Dealer Operations'!B:B,'Dealer Operations'!J:J,"Not Found")</f>
        <v>9.1999999999999993</v>
      </c>
      <c r="L65" s="4">
        <f>_xlfn.XLOOKUP(C65,'Dealer Operations'!B:B,'Dealer Operations'!K:K,"Not Found")</f>
        <v>83</v>
      </c>
      <c r="M65" s="3">
        <v>9</v>
      </c>
      <c r="N65" s="3">
        <v>2</v>
      </c>
      <c r="O65" s="3">
        <v>7</v>
      </c>
      <c r="P65" s="3">
        <v>0</v>
      </c>
      <c r="Q65" s="6">
        <f t="shared" si="13"/>
        <v>0.85</v>
      </c>
      <c r="R65" s="6">
        <f t="shared" si="14"/>
        <v>1</v>
      </c>
      <c r="S65" s="6">
        <f t="shared" si="15"/>
        <v>2.5</v>
      </c>
      <c r="T65" s="6">
        <f t="shared" si="16"/>
        <v>3.75</v>
      </c>
      <c r="U65" s="6">
        <f t="shared" si="17"/>
        <v>1.1000000000000001</v>
      </c>
      <c r="V65" s="6">
        <f t="shared" si="12"/>
        <v>1.1000000000000001</v>
      </c>
      <c r="W65" s="6">
        <f t="shared" si="18"/>
        <v>1.2</v>
      </c>
      <c r="X65" s="6">
        <f t="shared" si="19"/>
        <v>1.5</v>
      </c>
      <c r="Y65" s="6">
        <f t="shared" si="20"/>
        <v>2.8425000000000002</v>
      </c>
      <c r="Z65" s="6">
        <f t="shared" si="21"/>
        <v>1.1200000000000001</v>
      </c>
      <c r="AA65" s="6">
        <f t="shared" si="22"/>
        <v>4.7754000000000012</v>
      </c>
      <c r="AB65" s="6">
        <f t="shared" si="23"/>
        <v>4.7754000000000012</v>
      </c>
      <c r="AC65" s="7" t="str">
        <f t="shared" si="24"/>
        <v>Moderate friction</v>
      </c>
    </row>
    <row r="66" spans="1:29" x14ac:dyDescent="0.35">
      <c r="A66" s="2" t="s">
        <v>105</v>
      </c>
      <c r="B66" s="11">
        <v>0</v>
      </c>
      <c r="C66" s="11">
        <v>39018</v>
      </c>
      <c r="D66" s="11" t="str">
        <f>_xlfn.XLOOKUP(C66,'Dealer Operations'!B:B,'Dealer Operations'!C:C,"Not Found")</f>
        <v>Huntington Beach Hyundai</v>
      </c>
      <c r="E66" s="11" t="str">
        <f>_xlfn.XLOOKUP(C67,'Dealer Operations'!B:B,'Dealer Operations'!D:D,"Not Found")</f>
        <v>Fred Mercury</v>
      </c>
      <c r="F66" s="26">
        <f>_xlfn.XLOOKUP(A66,'Dealer Operations'!A:A,'Dealer Operations'!E:E,"Not Found")</f>
        <v>46144</v>
      </c>
      <c r="G66" s="3">
        <v>11</v>
      </c>
      <c r="H66" s="3">
        <v>3</v>
      </c>
      <c r="I66" s="2" t="s">
        <v>38</v>
      </c>
      <c r="J66" s="3">
        <f>_xlfn.XLOOKUP(C66,'Dealer Operations'!B:B,'Dealer Operations'!I:I,"Not Found")</f>
        <v>73</v>
      </c>
      <c r="K66" s="4">
        <f>_xlfn.XLOOKUP(C66,'Dealer Operations'!B:B,'Dealer Operations'!J:J,"Not Found")</f>
        <v>9.9</v>
      </c>
      <c r="L66" s="4">
        <f>_xlfn.XLOOKUP(C66,'Dealer Operations'!B:B,'Dealer Operations'!K:K,"Not Found")</f>
        <v>79</v>
      </c>
      <c r="M66" s="3">
        <v>4</v>
      </c>
      <c r="N66" s="3">
        <v>5</v>
      </c>
      <c r="O66" s="3">
        <v>9</v>
      </c>
      <c r="P66" s="3">
        <v>1</v>
      </c>
      <c r="Q66" s="6">
        <f t="shared" ref="Q66:Q101" si="25">IF(I66="Loaner Covered",0.85,IF(I66="External Rental",1.3,IF(I66="No Loaner Coverage",1.6,1)))</f>
        <v>0.85</v>
      </c>
      <c r="R66" s="6">
        <f t="shared" ref="R66:R101" si="26">IF(H66&lt;=1,1,IF(H66=2,1.15,IF(H66=3,1.3,1.45)))</f>
        <v>1.3</v>
      </c>
      <c r="S66" s="6">
        <f t="shared" ref="S66:S101" si="27">IF(N66=0,1,IF(N66=1,1.75,IF(N66=2,2.5,IF(N66=3,3.25,4))))</f>
        <v>4</v>
      </c>
      <c r="T66" s="6">
        <f t="shared" ref="T66:T101" si="28">IF(M66&lt;=1,1,IF(M66&lt;=3,1.75,IF(M66&lt;=5,2.5,IF(M66&lt;=7,3.25,3.75))))</f>
        <v>2.5</v>
      </c>
      <c r="U66" s="6">
        <f t="shared" ref="U66:U101" si="29">IF(J66&gt;=85,1,IF(J66&gt;=75,1.1,IF(J66&gt;=65,1.25,IF(J66&gt;=55,1.35,1.45))))</f>
        <v>1.25</v>
      </c>
      <c r="V66" s="6">
        <f t="shared" si="12"/>
        <v>1.1000000000000001</v>
      </c>
      <c r="W66" s="6">
        <f t="shared" ref="W66:W101" si="30">IF(L66&gt;=95,1,IF(L66&gt;=85,1.1,IF(L66&gt;=75,1.2,IF(L66&gt;=65,1.3,1.4))))</f>
        <v>1.2</v>
      </c>
      <c r="X66" s="6">
        <f t="shared" ref="X66:X101" si="31">IF(G66&lt;=7,1,IF(G66&lt;=14,1.1,IF(G66&lt;=21,1.25,IF(G66&lt;=29,1.5,2))))</f>
        <v>1.1000000000000001</v>
      </c>
      <c r="Y66" s="6">
        <f t="shared" ref="Y66:Y101" si="32">((0.35*Q66)+(0.65*R66))*((0.6*S66)+(0.4*T66))</f>
        <v>3.8845000000000001</v>
      </c>
      <c r="Z66" s="6">
        <f t="shared" ref="Z66:Z101" si="33">(0.35*U66)+(0.45*V66)+(0.2*W66)</f>
        <v>1.1725000000000001</v>
      </c>
      <c r="AA66" s="6">
        <f t="shared" ref="AA66:AA97" si="34">Y66*Z66*X66</f>
        <v>5.0100338750000004</v>
      </c>
      <c r="AB66" s="6">
        <f t="shared" ref="AB66:AB97" si="35">MIN(AA66,15)</f>
        <v>5.0100338750000004</v>
      </c>
      <c r="AC66" s="7" t="str">
        <f t="shared" ref="AC66:AC97" si="36">IF(AB66&lt;3,"Low operational exposure",IF(AB66&lt;6,"Moderate friction",IF(AB66&lt;10,"High escalation risk",IF(AB66&lt;12,"Severe exposure","Critical / Executive intervention"))))</f>
        <v>Moderate friction</v>
      </c>
    </row>
    <row r="67" spans="1:29" x14ac:dyDescent="0.35">
      <c r="A67" s="2" t="s">
        <v>106</v>
      </c>
      <c r="B67" s="11">
        <v>0</v>
      </c>
      <c r="C67" s="11">
        <v>11425</v>
      </c>
      <c r="D67" s="11" t="str">
        <f>_xlfn.XLOOKUP(C67,'Dealer Operations'!B:B,'Dealer Operations'!C:C,"Not Found")</f>
        <v>Keyes Hyundai</v>
      </c>
      <c r="E67" s="11" t="str">
        <f>_xlfn.XLOOKUP(C68,'Dealer Operations'!B:B,'Dealer Operations'!D:D,"Not Found")</f>
        <v>Shohei Ohtani</v>
      </c>
      <c r="F67" s="26">
        <f>_xlfn.XLOOKUP(A67,'Dealer Operations'!A:A,'Dealer Operations'!E:E,"Not Found")</f>
        <v>46148</v>
      </c>
      <c r="G67" s="3">
        <v>7</v>
      </c>
      <c r="H67" s="3">
        <v>2</v>
      </c>
      <c r="I67" s="2" t="s">
        <v>31</v>
      </c>
      <c r="J67" s="3">
        <f>_xlfn.XLOOKUP(C67,'Dealer Operations'!B:B,'Dealer Operations'!I:I,"Not Found")</f>
        <v>86</v>
      </c>
      <c r="K67" s="4">
        <f>_xlfn.XLOOKUP(C67,'Dealer Operations'!B:B,'Dealer Operations'!J:J,"Not Found")</f>
        <v>6.8</v>
      </c>
      <c r="L67" s="4">
        <f>_xlfn.XLOOKUP(C67,'Dealer Operations'!B:B,'Dealer Operations'!K:K,"Not Found")</f>
        <v>89</v>
      </c>
      <c r="M67" s="3">
        <v>6</v>
      </c>
      <c r="N67" s="3">
        <v>5</v>
      </c>
      <c r="O67" s="3">
        <v>4</v>
      </c>
      <c r="P67" s="3">
        <v>0</v>
      </c>
      <c r="Q67" s="6">
        <f t="shared" si="25"/>
        <v>1.3</v>
      </c>
      <c r="R67" s="6">
        <f t="shared" si="26"/>
        <v>1.1499999999999999</v>
      </c>
      <c r="S67" s="6">
        <f t="shared" si="27"/>
        <v>4</v>
      </c>
      <c r="T67" s="6">
        <f t="shared" si="28"/>
        <v>3.25</v>
      </c>
      <c r="U67" s="6">
        <f t="shared" si="29"/>
        <v>1</v>
      </c>
      <c r="V67" s="6">
        <f t="shared" ref="V67:V101" si="37">IF(K67&lt;=5,1,IF(K67&lt;=10,1.1,IF(K67&lt;=15,1.3,1.5)))</f>
        <v>1.1000000000000001</v>
      </c>
      <c r="W67" s="6">
        <f t="shared" si="30"/>
        <v>1.1000000000000001</v>
      </c>
      <c r="X67" s="6">
        <f t="shared" si="31"/>
        <v>1</v>
      </c>
      <c r="Y67" s="6">
        <f t="shared" si="32"/>
        <v>4.4492500000000001</v>
      </c>
      <c r="Z67" s="6">
        <f t="shared" si="33"/>
        <v>1.0649999999999999</v>
      </c>
      <c r="AA67" s="6">
        <f t="shared" si="34"/>
        <v>4.7384512499999998</v>
      </c>
      <c r="AB67" s="6">
        <f t="shared" si="35"/>
        <v>4.7384512499999998</v>
      </c>
      <c r="AC67" s="7" t="str">
        <f t="shared" si="36"/>
        <v>Moderate friction</v>
      </c>
    </row>
    <row r="68" spans="1:29" x14ac:dyDescent="0.35">
      <c r="A68" s="2" t="s">
        <v>107</v>
      </c>
      <c r="B68" s="11">
        <v>0</v>
      </c>
      <c r="C68" s="11">
        <v>55102</v>
      </c>
      <c r="D68" s="11" t="str">
        <f>_xlfn.XLOOKUP(C68,'Dealer Operations'!B:B,'Dealer Operations'!C:C,"Not Found")</f>
        <v>Riverside Hyundai</v>
      </c>
      <c r="E68" s="11" t="str">
        <f>_xlfn.XLOOKUP(C69,'Dealer Operations'!B:B,'Dealer Operations'!D:D,"Not Found")</f>
        <v>Shohei Ohtani</v>
      </c>
      <c r="F68" s="26">
        <f>_xlfn.XLOOKUP(A68,'Dealer Operations'!A:A,'Dealer Operations'!E:E,"Not Found")</f>
        <v>46135</v>
      </c>
      <c r="G68" s="3">
        <v>20</v>
      </c>
      <c r="H68" s="3">
        <v>4</v>
      </c>
      <c r="I68" s="2" t="s">
        <v>31</v>
      </c>
      <c r="J68" s="3">
        <f>_xlfn.XLOOKUP(C68,'Dealer Operations'!B:B,'Dealer Operations'!I:I,"Not Found")</f>
        <v>94</v>
      </c>
      <c r="K68" s="4">
        <f>_xlfn.XLOOKUP(C68,'Dealer Operations'!B:B,'Dealer Operations'!J:J,"Not Found")</f>
        <v>8.4</v>
      </c>
      <c r="L68" s="4">
        <f>_xlfn.XLOOKUP(C68,'Dealer Operations'!B:B,'Dealer Operations'!K:K,"Not Found")</f>
        <v>87</v>
      </c>
      <c r="M68" s="3">
        <v>4</v>
      </c>
      <c r="N68" s="3">
        <v>1</v>
      </c>
      <c r="O68" s="3">
        <v>5</v>
      </c>
      <c r="P68" s="3">
        <v>3</v>
      </c>
      <c r="Q68" s="6">
        <f t="shared" si="25"/>
        <v>1.3</v>
      </c>
      <c r="R68" s="6">
        <f t="shared" si="26"/>
        <v>1.45</v>
      </c>
      <c r="S68" s="6">
        <f t="shared" si="27"/>
        <v>1.75</v>
      </c>
      <c r="T68" s="6">
        <f t="shared" si="28"/>
        <v>2.5</v>
      </c>
      <c r="U68" s="6">
        <f t="shared" si="29"/>
        <v>1</v>
      </c>
      <c r="V68" s="6">
        <f t="shared" si="37"/>
        <v>1.1000000000000001</v>
      </c>
      <c r="W68" s="6">
        <f t="shared" si="30"/>
        <v>1.1000000000000001</v>
      </c>
      <c r="X68" s="6">
        <f t="shared" si="31"/>
        <v>1.25</v>
      </c>
      <c r="Y68" s="6">
        <f t="shared" si="32"/>
        <v>2.8648749999999996</v>
      </c>
      <c r="Z68" s="6">
        <f t="shared" si="33"/>
        <v>1.0649999999999999</v>
      </c>
      <c r="AA68" s="6">
        <f t="shared" si="34"/>
        <v>3.8138648437499993</v>
      </c>
      <c r="AB68" s="6">
        <f t="shared" si="35"/>
        <v>3.8138648437499993</v>
      </c>
      <c r="AC68" s="7" t="str">
        <f t="shared" si="36"/>
        <v>Moderate friction</v>
      </c>
    </row>
    <row r="69" spans="1:29" x14ac:dyDescent="0.35">
      <c r="A69" s="2" t="s">
        <v>108</v>
      </c>
      <c r="B69" s="11">
        <v>0</v>
      </c>
      <c r="C69" s="11">
        <v>39018</v>
      </c>
      <c r="D69" s="11" t="str">
        <f>_xlfn.XLOOKUP(C69,'Dealer Operations'!B:B,'Dealer Operations'!C:C,"Not Found")</f>
        <v>Huntington Beach Hyundai</v>
      </c>
      <c r="E69" s="11" t="str">
        <f>_xlfn.XLOOKUP(C70,'Dealer Operations'!B:B,'Dealer Operations'!D:D,"Not Found")</f>
        <v>Shohei Ohtani</v>
      </c>
      <c r="F69" s="26">
        <f>_xlfn.XLOOKUP(A69,'Dealer Operations'!A:A,'Dealer Operations'!E:E,"Not Found")</f>
        <v>46138</v>
      </c>
      <c r="G69" s="3">
        <v>17</v>
      </c>
      <c r="H69" s="3">
        <v>0</v>
      </c>
      <c r="I69" s="2" t="s">
        <v>38</v>
      </c>
      <c r="J69" s="3">
        <f>_xlfn.XLOOKUP(C69,'Dealer Operations'!B:B,'Dealer Operations'!I:I,"Not Found")</f>
        <v>73</v>
      </c>
      <c r="K69" s="4">
        <f>_xlfn.XLOOKUP(C69,'Dealer Operations'!B:B,'Dealer Operations'!J:J,"Not Found")</f>
        <v>9.9</v>
      </c>
      <c r="L69" s="4">
        <f>_xlfn.XLOOKUP(C69,'Dealer Operations'!B:B,'Dealer Operations'!K:K,"Not Found")</f>
        <v>79</v>
      </c>
      <c r="M69" s="3">
        <v>8</v>
      </c>
      <c r="N69" s="3">
        <v>3</v>
      </c>
      <c r="O69" s="3">
        <v>10</v>
      </c>
      <c r="P69" s="3">
        <v>4</v>
      </c>
      <c r="Q69" s="6">
        <f t="shared" si="25"/>
        <v>0.85</v>
      </c>
      <c r="R69" s="6">
        <f t="shared" si="26"/>
        <v>1</v>
      </c>
      <c r="S69" s="6">
        <f t="shared" si="27"/>
        <v>3.25</v>
      </c>
      <c r="T69" s="6">
        <f t="shared" si="28"/>
        <v>3.75</v>
      </c>
      <c r="U69" s="6">
        <f t="shared" si="29"/>
        <v>1.25</v>
      </c>
      <c r="V69" s="6">
        <f t="shared" si="37"/>
        <v>1.1000000000000001</v>
      </c>
      <c r="W69" s="6">
        <f t="shared" si="30"/>
        <v>1.2</v>
      </c>
      <c r="X69" s="6">
        <f t="shared" si="31"/>
        <v>1.25</v>
      </c>
      <c r="Y69" s="6">
        <f t="shared" si="32"/>
        <v>3.2688750000000004</v>
      </c>
      <c r="Z69" s="6">
        <f t="shared" si="33"/>
        <v>1.1725000000000001</v>
      </c>
      <c r="AA69" s="6">
        <f t="shared" si="34"/>
        <v>4.7909449218750009</v>
      </c>
      <c r="AB69" s="6">
        <f t="shared" si="35"/>
        <v>4.7909449218750009</v>
      </c>
      <c r="AC69" s="7" t="str">
        <f t="shared" si="36"/>
        <v>Moderate friction</v>
      </c>
    </row>
    <row r="70" spans="1:29" x14ac:dyDescent="0.35">
      <c r="A70" s="2" t="s">
        <v>109</v>
      </c>
      <c r="B70" s="11">
        <v>0</v>
      </c>
      <c r="C70" s="11">
        <v>81773</v>
      </c>
      <c r="D70" s="11" t="str">
        <f>_xlfn.XLOOKUP(C70,'Dealer Operations'!B:B,'Dealer Operations'!C:C,"Not Found")</f>
        <v>Hyundai San Diego</v>
      </c>
      <c r="E70" s="11" t="str">
        <f>_xlfn.XLOOKUP(C71,'Dealer Operations'!B:B,'Dealer Operations'!D:D,"Not Found")</f>
        <v>Fred Mercury</v>
      </c>
      <c r="F70" s="26">
        <f>_xlfn.XLOOKUP(A70,'Dealer Operations'!A:A,'Dealer Operations'!E:E,"Not Found")</f>
        <v>46143</v>
      </c>
      <c r="G70" s="3">
        <v>12</v>
      </c>
      <c r="H70" s="3">
        <v>4</v>
      </c>
      <c r="I70" s="2" t="s">
        <v>38</v>
      </c>
      <c r="J70" s="3">
        <f>_xlfn.XLOOKUP(C70,'Dealer Operations'!B:B,'Dealer Operations'!I:I,"Not Found")</f>
        <v>68</v>
      </c>
      <c r="K70" s="4">
        <f>_xlfn.XLOOKUP(C70,'Dealer Operations'!B:B,'Dealer Operations'!J:J,"Not Found")</f>
        <v>9.3000000000000007</v>
      </c>
      <c r="L70" s="4">
        <f>_xlfn.XLOOKUP(C70,'Dealer Operations'!B:B,'Dealer Operations'!K:K,"Not Found")</f>
        <v>55</v>
      </c>
      <c r="M70" s="3">
        <v>3</v>
      </c>
      <c r="N70" s="3">
        <v>6</v>
      </c>
      <c r="O70" s="3">
        <v>11</v>
      </c>
      <c r="P70" s="3">
        <v>2</v>
      </c>
      <c r="Q70" s="6">
        <f t="shared" si="25"/>
        <v>0.85</v>
      </c>
      <c r="R70" s="6">
        <f t="shared" si="26"/>
        <v>1.45</v>
      </c>
      <c r="S70" s="6">
        <f t="shared" si="27"/>
        <v>4</v>
      </c>
      <c r="T70" s="6">
        <f t="shared" si="28"/>
        <v>1.75</v>
      </c>
      <c r="U70" s="6">
        <f t="shared" si="29"/>
        <v>1.25</v>
      </c>
      <c r="V70" s="6">
        <f t="shared" si="37"/>
        <v>1.1000000000000001</v>
      </c>
      <c r="W70" s="6">
        <f t="shared" si="30"/>
        <v>1.4</v>
      </c>
      <c r="X70" s="6">
        <f t="shared" si="31"/>
        <v>1.1000000000000001</v>
      </c>
      <c r="Y70" s="6">
        <f t="shared" si="32"/>
        <v>3.8439999999999999</v>
      </c>
      <c r="Z70" s="6">
        <f t="shared" si="33"/>
        <v>1.2125000000000001</v>
      </c>
      <c r="AA70" s="6">
        <f t="shared" si="34"/>
        <v>5.1269350000000005</v>
      </c>
      <c r="AB70" s="6">
        <f t="shared" si="35"/>
        <v>5.1269350000000005</v>
      </c>
      <c r="AC70" s="7" t="str">
        <f t="shared" si="36"/>
        <v>Moderate friction</v>
      </c>
    </row>
    <row r="71" spans="1:29" x14ac:dyDescent="0.35">
      <c r="A71" s="2" t="s">
        <v>110</v>
      </c>
      <c r="B71" s="11">
        <v>0</v>
      </c>
      <c r="C71" s="11">
        <v>77841</v>
      </c>
      <c r="D71" s="11" t="str">
        <f>_xlfn.XLOOKUP(C71,'Dealer Operations'!B:B,'Dealer Operations'!C:C,"Not Found")</f>
        <v>Victorville Hyundai</v>
      </c>
      <c r="E71" s="11" t="str">
        <f>_xlfn.XLOOKUP(C72,'Dealer Operations'!B:B,'Dealer Operations'!D:D,"Not Found")</f>
        <v>Fred Mercury</v>
      </c>
      <c r="F71" s="26">
        <f>_xlfn.XLOOKUP(A71,'Dealer Operations'!A:A,'Dealer Operations'!E:E,"Not Found")</f>
        <v>46113</v>
      </c>
      <c r="G71" s="3">
        <v>42</v>
      </c>
      <c r="H71" s="3">
        <v>1</v>
      </c>
      <c r="I71" s="2" t="s">
        <v>38</v>
      </c>
      <c r="J71" s="3">
        <f>_xlfn.XLOOKUP(C71,'Dealer Operations'!B:B,'Dealer Operations'!I:I,"Not Found")</f>
        <v>86</v>
      </c>
      <c r="K71" s="4">
        <f>_xlfn.XLOOKUP(C71,'Dealer Operations'!B:B,'Dealer Operations'!J:J,"Not Found")</f>
        <v>8</v>
      </c>
      <c r="L71" s="4">
        <f>_xlfn.XLOOKUP(C71,'Dealer Operations'!B:B,'Dealer Operations'!K:K,"Not Found")</f>
        <v>80</v>
      </c>
      <c r="M71" s="3">
        <v>2</v>
      </c>
      <c r="N71" s="3">
        <v>2</v>
      </c>
      <c r="O71" s="3">
        <v>5</v>
      </c>
      <c r="P71" s="3">
        <v>1</v>
      </c>
      <c r="Q71" s="6">
        <f t="shared" si="25"/>
        <v>0.85</v>
      </c>
      <c r="R71" s="6">
        <f t="shared" si="26"/>
        <v>1</v>
      </c>
      <c r="S71" s="6">
        <f t="shared" si="27"/>
        <v>2.5</v>
      </c>
      <c r="T71" s="6">
        <f t="shared" si="28"/>
        <v>1.75</v>
      </c>
      <c r="U71" s="6">
        <f t="shared" si="29"/>
        <v>1</v>
      </c>
      <c r="V71" s="6">
        <f t="shared" si="37"/>
        <v>1.1000000000000001</v>
      </c>
      <c r="W71" s="6">
        <f t="shared" si="30"/>
        <v>1.2</v>
      </c>
      <c r="X71" s="6">
        <f t="shared" si="31"/>
        <v>2</v>
      </c>
      <c r="Y71" s="6">
        <f t="shared" si="32"/>
        <v>2.0845000000000002</v>
      </c>
      <c r="Z71" s="6">
        <f t="shared" si="33"/>
        <v>1.085</v>
      </c>
      <c r="AA71" s="6">
        <f t="shared" si="34"/>
        <v>4.5233650000000001</v>
      </c>
      <c r="AB71" s="6">
        <f t="shared" si="35"/>
        <v>4.5233650000000001</v>
      </c>
      <c r="AC71" s="7" t="str">
        <f t="shared" si="36"/>
        <v>Moderate friction</v>
      </c>
    </row>
    <row r="72" spans="1:29" x14ac:dyDescent="0.35">
      <c r="A72" s="2" t="s">
        <v>111</v>
      </c>
      <c r="B72" s="11">
        <v>0</v>
      </c>
      <c r="C72" s="11">
        <v>51244</v>
      </c>
      <c r="D72" s="11" t="str">
        <f>_xlfn.XLOOKUP(C72,'Dealer Operations'!B:B,'Dealer Operations'!C:C,"Not Found")</f>
        <v>Hyundai Long Beach</v>
      </c>
      <c r="E72" s="11" t="str">
        <f>_xlfn.XLOOKUP(C73,'Dealer Operations'!B:B,'Dealer Operations'!D:D,"Not Found")</f>
        <v>Fred Mercury</v>
      </c>
      <c r="F72" s="26">
        <f>_xlfn.XLOOKUP(A72,'Dealer Operations'!A:A,'Dealer Operations'!E:E,"Not Found")</f>
        <v>46141</v>
      </c>
      <c r="G72" s="3">
        <v>14</v>
      </c>
      <c r="H72" s="3">
        <v>1</v>
      </c>
      <c r="I72" s="2" t="s">
        <v>38</v>
      </c>
      <c r="J72" s="3">
        <f>_xlfn.XLOOKUP(C72,'Dealer Operations'!B:B,'Dealer Operations'!I:I,"Not Found")</f>
        <v>82</v>
      </c>
      <c r="K72" s="4">
        <f>_xlfn.XLOOKUP(C72,'Dealer Operations'!B:B,'Dealer Operations'!J:J,"Not Found")</f>
        <v>9.1999999999999993</v>
      </c>
      <c r="L72" s="4">
        <f>_xlfn.XLOOKUP(C72,'Dealer Operations'!B:B,'Dealer Operations'!K:K,"Not Found")</f>
        <v>83</v>
      </c>
      <c r="M72" s="3">
        <v>9</v>
      </c>
      <c r="N72" s="3">
        <v>2</v>
      </c>
      <c r="O72" s="3">
        <v>7</v>
      </c>
      <c r="P72" s="3">
        <v>0</v>
      </c>
      <c r="Q72" s="6">
        <f t="shared" si="25"/>
        <v>0.85</v>
      </c>
      <c r="R72" s="6">
        <f t="shared" si="26"/>
        <v>1</v>
      </c>
      <c r="S72" s="6">
        <f t="shared" si="27"/>
        <v>2.5</v>
      </c>
      <c r="T72" s="6">
        <f t="shared" si="28"/>
        <v>3.75</v>
      </c>
      <c r="U72" s="6">
        <f t="shared" si="29"/>
        <v>1.1000000000000001</v>
      </c>
      <c r="V72" s="6">
        <f t="shared" si="37"/>
        <v>1.1000000000000001</v>
      </c>
      <c r="W72" s="6">
        <f t="shared" si="30"/>
        <v>1.2</v>
      </c>
      <c r="X72" s="6">
        <f t="shared" si="31"/>
        <v>1.1000000000000001</v>
      </c>
      <c r="Y72" s="6">
        <f t="shared" si="32"/>
        <v>2.8425000000000002</v>
      </c>
      <c r="Z72" s="6">
        <f t="shared" si="33"/>
        <v>1.1200000000000001</v>
      </c>
      <c r="AA72" s="6">
        <f t="shared" si="34"/>
        <v>3.5019600000000008</v>
      </c>
      <c r="AB72" s="6">
        <f t="shared" si="35"/>
        <v>3.5019600000000008</v>
      </c>
      <c r="AC72" s="7" t="str">
        <f t="shared" si="36"/>
        <v>Moderate friction</v>
      </c>
    </row>
    <row r="73" spans="1:29" x14ac:dyDescent="0.35">
      <c r="A73" s="2" t="s">
        <v>112</v>
      </c>
      <c r="B73" s="11">
        <v>0</v>
      </c>
      <c r="C73" s="11">
        <v>44117</v>
      </c>
      <c r="D73" s="11" t="str">
        <f>_xlfn.XLOOKUP(C73,'Dealer Operations'!B:B,'Dealer Operations'!C:C,"Not Found")</f>
        <v>Desert Hyundai</v>
      </c>
      <c r="E73" s="11" t="str">
        <f>_xlfn.XLOOKUP(C74,'Dealer Operations'!B:B,'Dealer Operations'!D:D,"Not Found")</f>
        <v>Fred Mercury</v>
      </c>
      <c r="F73" s="26">
        <f>_xlfn.XLOOKUP(A73,'Dealer Operations'!A:A,'Dealer Operations'!E:E,"Not Found")</f>
        <v>46144</v>
      </c>
      <c r="G73" s="3">
        <v>11</v>
      </c>
      <c r="H73" s="3">
        <v>1</v>
      </c>
      <c r="I73" s="2" t="s">
        <v>31</v>
      </c>
      <c r="J73" s="3">
        <f>_xlfn.XLOOKUP(C73,'Dealer Operations'!B:B,'Dealer Operations'!I:I,"Not Found")</f>
        <v>58</v>
      </c>
      <c r="K73" s="4">
        <f>_xlfn.XLOOKUP(C73,'Dealer Operations'!B:B,'Dealer Operations'!J:J,"Not Found")</f>
        <v>10.5</v>
      </c>
      <c r="L73" s="4">
        <f>_xlfn.XLOOKUP(C73,'Dealer Operations'!B:B,'Dealer Operations'!K:K,"Not Found")</f>
        <v>49</v>
      </c>
      <c r="M73" s="3">
        <v>0</v>
      </c>
      <c r="N73" s="3">
        <v>5</v>
      </c>
      <c r="O73" s="3">
        <v>10</v>
      </c>
      <c r="P73" s="3">
        <v>1</v>
      </c>
      <c r="Q73" s="6">
        <f t="shared" si="25"/>
        <v>1.3</v>
      </c>
      <c r="R73" s="6">
        <f t="shared" si="26"/>
        <v>1</v>
      </c>
      <c r="S73" s="6">
        <f t="shared" si="27"/>
        <v>4</v>
      </c>
      <c r="T73" s="6">
        <f t="shared" si="28"/>
        <v>1</v>
      </c>
      <c r="U73" s="6">
        <f t="shared" si="29"/>
        <v>1.35</v>
      </c>
      <c r="V73" s="6">
        <f t="shared" si="37"/>
        <v>1.3</v>
      </c>
      <c r="W73" s="6">
        <f t="shared" si="30"/>
        <v>1.4</v>
      </c>
      <c r="X73" s="6">
        <f t="shared" si="31"/>
        <v>1.1000000000000001</v>
      </c>
      <c r="Y73" s="6">
        <f t="shared" si="32"/>
        <v>3.0939999999999999</v>
      </c>
      <c r="Z73" s="6">
        <f t="shared" si="33"/>
        <v>1.3375000000000001</v>
      </c>
      <c r="AA73" s="6">
        <f t="shared" si="34"/>
        <v>4.5520475000000005</v>
      </c>
      <c r="AB73" s="6">
        <f t="shared" si="35"/>
        <v>4.5520475000000005</v>
      </c>
      <c r="AC73" s="7" t="str">
        <f t="shared" si="36"/>
        <v>Moderate friction</v>
      </c>
    </row>
    <row r="74" spans="1:29" x14ac:dyDescent="0.35">
      <c r="A74" s="2" t="s">
        <v>113</v>
      </c>
      <c r="B74" s="11">
        <v>0</v>
      </c>
      <c r="C74" s="11">
        <v>77841</v>
      </c>
      <c r="D74" s="11" t="str">
        <f>_xlfn.XLOOKUP(C74,'Dealer Operations'!B:B,'Dealer Operations'!C:C,"Not Found")</f>
        <v>Victorville Hyundai</v>
      </c>
      <c r="E74" s="11" t="str">
        <f>_xlfn.XLOOKUP(C75,'Dealer Operations'!B:B,'Dealer Operations'!D:D,"Not Found")</f>
        <v>Shohei Ohtani</v>
      </c>
      <c r="F74" s="26">
        <f>_xlfn.XLOOKUP(A74,'Dealer Operations'!A:A,'Dealer Operations'!E:E,"Not Found")</f>
        <v>46130</v>
      </c>
      <c r="G74" s="3">
        <v>25</v>
      </c>
      <c r="H74" s="3">
        <v>2</v>
      </c>
      <c r="I74" s="2" t="s">
        <v>38</v>
      </c>
      <c r="J74" s="3">
        <f>_xlfn.XLOOKUP(C74,'Dealer Operations'!B:B,'Dealer Operations'!I:I,"Not Found")</f>
        <v>86</v>
      </c>
      <c r="K74" s="4">
        <f>_xlfn.XLOOKUP(C74,'Dealer Operations'!B:B,'Dealer Operations'!J:J,"Not Found")</f>
        <v>8</v>
      </c>
      <c r="L74" s="4">
        <f>_xlfn.XLOOKUP(C74,'Dealer Operations'!B:B,'Dealer Operations'!K:K,"Not Found")</f>
        <v>80</v>
      </c>
      <c r="M74" s="3">
        <v>0</v>
      </c>
      <c r="N74" s="3">
        <v>4</v>
      </c>
      <c r="O74" s="3">
        <v>7</v>
      </c>
      <c r="P74" s="3">
        <v>0</v>
      </c>
      <c r="Q74" s="6">
        <f t="shared" si="25"/>
        <v>0.85</v>
      </c>
      <c r="R74" s="6">
        <f t="shared" si="26"/>
        <v>1.1499999999999999</v>
      </c>
      <c r="S74" s="6">
        <f t="shared" si="27"/>
        <v>4</v>
      </c>
      <c r="T74" s="6">
        <f t="shared" si="28"/>
        <v>1</v>
      </c>
      <c r="U74" s="6">
        <f t="shared" si="29"/>
        <v>1</v>
      </c>
      <c r="V74" s="6">
        <f t="shared" si="37"/>
        <v>1.1000000000000001</v>
      </c>
      <c r="W74" s="6">
        <f t="shared" si="30"/>
        <v>1.2</v>
      </c>
      <c r="X74" s="6">
        <f t="shared" si="31"/>
        <v>1.5</v>
      </c>
      <c r="Y74" s="6">
        <f t="shared" si="32"/>
        <v>2.9259999999999997</v>
      </c>
      <c r="Z74" s="6">
        <f t="shared" si="33"/>
        <v>1.085</v>
      </c>
      <c r="AA74" s="6">
        <f t="shared" si="34"/>
        <v>4.7620649999999998</v>
      </c>
      <c r="AB74" s="6">
        <f t="shared" si="35"/>
        <v>4.7620649999999998</v>
      </c>
      <c r="AC74" s="7" t="str">
        <f t="shared" si="36"/>
        <v>Moderate friction</v>
      </c>
    </row>
    <row r="75" spans="1:29" x14ac:dyDescent="0.35">
      <c r="A75" s="2" t="s">
        <v>114</v>
      </c>
      <c r="B75" s="11">
        <v>0</v>
      </c>
      <c r="C75" s="11">
        <v>39018</v>
      </c>
      <c r="D75" s="11" t="str">
        <f>_xlfn.XLOOKUP(C75,'Dealer Operations'!B:B,'Dealer Operations'!C:C,"Not Found")</f>
        <v>Huntington Beach Hyundai</v>
      </c>
      <c r="E75" s="11" t="str">
        <f>_xlfn.XLOOKUP(C76,'Dealer Operations'!B:B,'Dealer Operations'!D:D,"Not Found")</f>
        <v>Shohei Ohtani</v>
      </c>
      <c r="F75" s="26">
        <f>_xlfn.XLOOKUP(A75,'Dealer Operations'!A:A,'Dealer Operations'!E:E,"Not Found")</f>
        <v>46134</v>
      </c>
      <c r="G75" s="3">
        <v>21</v>
      </c>
      <c r="H75" s="3">
        <v>2</v>
      </c>
      <c r="I75" s="2" t="s">
        <v>38</v>
      </c>
      <c r="J75" s="3">
        <f>_xlfn.XLOOKUP(C75,'Dealer Operations'!B:B,'Dealer Operations'!I:I,"Not Found")</f>
        <v>73</v>
      </c>
      <c r="K75" s="4">
        <f>_xlfn.XLOOKUP(C75,'Dealer Operations'!B:B,'Dealer Operations'!J:J,"Not Found")</f>
        <v>9.9</v>
      </c>
      <c r="L75" s="4">
        <f>_xlfn.XLOOKUP(C75,'Dealer Operations'!B:B,'Dealer Operations'!K:K,"Not Found")</f>
        <v>79</v>
      </c>
      <c r="M75" s="3">
        <v>1</v>
      </c>
      <c r="N75" s="3">
        <v>6</v>
      </c>
      <c r="O75" s="3">
        <v>7</v>
      </c>
      <c r="P75" s="3">
        <v>3</v>
      </c>
      <c r="Q75" s="6">
        <f t="shared" si="25"/>
        <v>0.85</v>
      </c>
      <c r="R75" s="6">
        <f t="shared" si="26"/>
        <v>1.1499999999999999</v>
      </c>
      <c r="S75" s="6">
        <f t="shared" si="27"/>
        <v>4</v>
      </c>
      <c r="T75" s="6">
        <f t="shared" si="28"/>
        <v>1</v>
      </c>
      <c r="U75" s="6">
        <f t="shared" si="29"/>
        <v>1.25</v>
      </c>
      <c r="V75" s="6">
        <f t="shared" si="37"/>
        <v>1.1000000000000001</v>
      </c>
      <c r="W75" s="6">
        <f t="shared" si="30"/>
        <v>1.2</v>
      </c>
      <c r="X75" s="6">
        <f t="shared" si="31"/>
        <v>1.25</v>
      </c>
      <c r="Y75" s="6">
        <f t="shared" si="32"/>
        <v>2.9259999999999997</v>
      </c>
      <c r="Z75" s="6">
        <f t="shared" si="33"/>
        <v>1.1725000000000001</v>
      </c>
      <c r="AA75" s="6">
        <f t="shared" si="34"/>
        <v>4.2884187499999999</v>
      </c>
      <c r="AB75" s="6">
        <f t="shared" si="35"/>
        <v>4.2884187499999999</v>
      </c>
      <c r="AC75" s="7" t="str">
        <f t="shared" si="36"/>
        <v>Moderate friction</v>
      </c>
    </row>
    <row r="76" spans="1:29" x14ac:dyDescent="0.35">
      <c r="A76" s="2" t="s">
        <v>115</v>
      </c>
      <c r="B76" s="11">
        <v>0</v>
      </c>
      <c r="C76" s="11">
        <v>39018</v>
      </c>
      <c r="D76" s="11" t="str">
        <f>_xlfn.XLOOKUP(C76,'Dealer Operations'!B:B,'Dealer Operations'!C:C,"Not Found")</f>
        <v>Huntington Beach Hyundai</v>
      </c>
      <c r="E76" s="11" t="str">
        <f>_xlfn.XLOOKUP(C77,'Dealer Operations'!B:B,'Dealer Operations'!D:D,"Not Found")</f>
        <v>Fred Mercury</v>
      </c>
      <c r="F76" s="26">
        <f>_xlfn.XLOOKUP(A76,'Dealer Operations'!A:A,'Dealer Operations'!E:E,"Not Found")</f>
        <v>46110</v>
      </c>
      <c r="G76" s="3">
        <v>45</v>
      </c>
      <c r="H76" s="3">
        <v>1</v>
      </c>
      <c r="I76" s="2" t="s">
        <v>38</v>
      </c>
      <c r="J76" s="3">
        <f>_xlfn.XLOOKUP(C76,'Dealer Operations'!B:B,'Dealer Operations'!I:I,"Not Found")</f>
        <v>73</v>
      </c>
      <c r="K76" s="4">
        <f>_xlfn.XLOOKUP(C76,'Dealer Operations'!B:B,'Dealer Operations'!J:J,"Not Found")</f>
        <v>9.9</v>
      </c>
      <c r="L76" s="4">
        <f>_xlfn.XLOOKUP(C76,'Dealer Operations'!B:B,'Dealer Operations'!K:K,"Not Found")</f>
        <v>79</v>
      </c>
      <c r="M76" s="3">
        <v>6</v>
      </c>
      <c r="N76" s="3">
        <v>0</v>
      </c>
      <c r="O76" s="3">
        <v>5</v>
      </c>
      <c r="P76" s="3">
        <v>0</v>
      </c>
      <c r="Q76" s="6">
        <f t="shared" si="25"/>
        <v>0.85</v>
      </c>
      <c r="R76" s="6">
        <f t="shared" si="26"/>
        <v>1</v>
      </c>
      <c r="S76" s="6">
        <f t="shared" si="27"/>
        <v>1</v>
      </c>
      <c r="T76" s="6">
        <f t="shared" si="28"/>
        <v>3.25</v>
      </c>
      <c r="U76" s="6">
        <f t="shared" si="29"/>
        <v>1.25</v>
      </c>
      <c r="V76" s="6">
        <f t="shared" si="37"/>
        <v>1.1000000000000001</v>
      </c>
      <c r="W76" s="6">
        <f t="shared" si="30"/>
        <v>1.2</v>
      </c>
      <c r="X76" s="6">
        <f t="shared" si="31"/>
        <v>2</v>
      </c>
      <c r="Y76" s="6">
        <f t="shared" si="32"/>
        <v>1.8002499999999999</v>
      </c>
      <c r="Z76" s="6">
        <f t="shared" si="33"/>
        <v>1.1725000000000001</v>
      </c>
      <c r="AA76" s="6">
        <f t="shared" si="34"/>
        <v>4.2215862500000005</v>
      </c>
      <c r="AB76" s="6">
        <f t="shared" si="35"/>
        <v>4.2215862500000005</v>
      </c>
      <c r="AC76" s="7" t="str">
        <f t="shared" si="36"/>
        <v>Moderate friction</v>
      </c>
    </row>
    <row r="77" spans="1:29" x14ac:dyDescent="0.35">
      <c r="A77" s="2" t="s">
        <v>116</v>
      </c>
      <c r="B77" s="11">
        <v>0</v>
      </c>
      <c r="C77" s="11">
        <v>44117</v>
      </c>
      <c r="D77" s="11" t="str">
        <f>_xlfn.XLOOKUP(C77,'Dealer Operations'!B:B,'Dealer Operations'!C:C,"Not Found")</f>
        <v>Desert Hyundai</v>
      </c>
      <c r="E77" s="11" t="str">
        <f>_xlfn.XLOOKUP(C78,'Dealer Operations'!B:B,'Dealer Operations'!D:D,"Not Found")</f>
        <v>Fred Mercury</v>
      </c>
      <c r="F77" s="26">
        <f>_xlfn.XLOOKUP(A77,'Dealer Operations'!A:A,'Dealer Operations'!E:E,"Not Found")</f>
        <v>46108</v>
      </c>
      <c r="G77" s="3">
        <v>47</v>
      </c>
      <c r="H77" s="3">
        <v>1</v>
      </c>
      <c r="I77" s="2" t="s">
        <v>29</v>
      </c>
      <c r="J77" s="3">
        <f>_xlfn.XLOOKUP(C77,'Dealer Operations'!B:B,'Dealer Operations'!I:I,"Not Found")</f>
        <v>58</v>
      </c>
      <c r="K77" s="4">
        <f>_xlfn.XLOOKUP(C77,'Dealer Operations'!B:B,'Dealer Operations'!J:J,"Not Found")</f>
        <v>10.5</v>
      </c>
      <c r="L77" s="4">
        <f>_xlfn.XLOOKUP(C77,'Dealer Operations'!B:B,'Dealer Operations'!K:K,"Not Found")</f>
        <v>49</v>
      </c>
      <c r="M77" s="3">
        <v>1</v>
      </c>
      <c r="N77" s="3">
        <v>1</v>
      </c>
      <c r="O77" s="3">
        <v>11</v>
      </c>
      <c r="P77" s="3">
        <v>1</v>
      </c>
      <c r="Q77" s="6">
        <f t="shared" si="25"/>
        <v>1.6</v>
      </c>
      <c r="R77" s="6">
        <f t="shared" si="26"/>
        <v>1</v>
      </c>
      <c r="S77" s="6">
        <f t="shared" si="27"/>
        <v>1.75</v>
      </c>
      <c r="T77" s="6">
        <f t="shared" si="28"/>
        <v>1</v>
      </c>
      <c r="U77" s="6">
        <f t="shared" si="29"/>
        <v>1.35</v>
      </c>
      <c r="V77" s="6">
        <f t="shared" si="37"/>
        <v>1.3</v>
      </c>
      <c r="W77" s="6">
        <f t="shared" si="30"/>
        <v>1.4</v>
      </c>
      <c r="X77" s="6">
        <f t="shared" si="31"/>
        <v>2</v>
      </c>
      <c r="Y77" s="6">
        <f t="shared" si="32"/>
        <v>1.7545000000000002</v>
      </c>
      <c r="Z77" s="6">
        <f t="shared" si="33"/>
        <v>1.3375000000000001</v>
      </c>
      <c r="AA77" s="6">
        <f t="shared" si="34"/>
        <v>4.6932875000000012</v>
      </c>
      <c r="AB77" s="6">
        <f t="shared" si="35"/>
        <v>4.6932875000000012</v>
      </c>
      <c r="AC77" s="7" t="str">
        <f t="shared" si="36"/>
        <v>Moderate friction</v>
      </c>
    </row>
    <row r="78" spans="1:29" x14ac:dyDescent="0.35">
      <c r="A78" s="2" t="s">
        <v>117</v>
      </c>
      <c r="B78" s="11">
        <v>0</v>
      </c>
      <c r="C78" s="11">
        <v>77841</v>
      </c>
      <c r="D78" s="11" t="str">
        <f>_xlfn.XLOOKUP(C78,'Dealer Operations'!B:B,'Dealer Operations'!C:C,"Not Found")</f>
        <v>Victorville Hyundai</v>
      </c>
      <c r="E78" s="11" t="str">
        <f>_xlfn.XLOOKUP(C79,'Dealer Operations'!B:B,'Dealer Operations'!D:D,"Not Found")</f>
        <v>Fred Mercury</v>
      </c>
      <c r="F78" s="26">
        <f>_xlfn.XLOOKUP(A78,'Dealer Operations'!A:A,'Dealer Operations'!E:E,"Not Found")</f>
        <v>46137</v>
      </c>
      <c r="G78" s="3">
        <v>18</v>
      </c>
      <c r="H78" s="3">
        <v>5</v>
      </c>
      <c r="I78" s="2" t="s">
        <v>38</v>
      </c>
      <c r="J78" s="3">
        <f>_xlfn.XLOOKUP(C78,'Dealer Operations'!B:B,'Dealer Operations'!I:I,"Not Found")</f>
        <v>86</v>
      </c>
      <c r="K78" s="4">
        <f>_xlfn.XLOOKUP(C78,'Dealer Operations'!B:B,'Dealer Operations'!J:J,"Not Found")</f>
        <v>8</v>
      </c>
      <c r="L78" s="4">
        <f>_xlfn.XLOOKUP(C78,'Dealer Operations'!B:B,'Dealer Operations'!K:K,"Not Found")</f>
        <v>80</v>
      </c>
      <c r="M78" s="3">
        <v>7</v>
      </c>
      <c r="N78" s="3">
        <v>1</v>
      </c>
      <c r="O78" s="3">
        <v>8</v>
      </c>
      <c r="P78" s="3">
        <v>0</v>
      </c>
      <c r="Q78" s="6">
        <f t="shared" si="25"/>
        <v>0.85</v>
      </c>
      <c r="R78" s="6">
        <f t="shared" si="26"/>
        <v>1.45</v>
      </c>
      <c r="S78" s="6">
        <f t="shared" si="27"/>
        <v>1.75</v>
      </c>
      <c r="T78" s="6">
        <f t="shared" si="28"/>
        <v>3.25</v>
      </c>
      <c r="U78" s="6">
        <f t="shared" si="29"/>
        <v>1</v>
      </c>
      <c r="V78" s="6">
        <f t="shared" si="37"/>
        <v>1.1000000000000001</v>
      </c>
      <c r="W78" s="6">
        <f t="shared" si="30"/>
        <v>1.2</v>
      </c>
      <c r="X78" s="6">
        <f t="shared" si="31"/>
        <v>1.25</v>
      </c>
      <c r="Y78" s="6">
        <f t="shared" si="32"/>
        <v>2.9140000000000001</v>
      </c>
      <c r="Z78" s="6">
        <f t="shared" si="33"/>
        <v>1.085</v>
      </c>
      <c r="AA78" s="6">
        <f t="shared" si="34"/>
        <v>3.9521125000000001</v>
      </c>
      <c r="AB78" s="6">
        <f t="shared" si="35"/>
        <v>3.9521125000000001</v>
      </c>
      <c r="AC78" s="7" t="str">
        <f t="shared" si="36"/>
        <v>Moderate friction</v>
      </c>
    </row>
    <row r="79" spans="1:29" x14ac:dyDescent="0.35">
      <c r="A79" s="2" t="s">
        <v>118</v>
      </c>
      <c r="B79" s="11">
        <v>0</v>
      </c>
      <c r="C79" s="11">
        <v>51244</v>
      </c>
      <c r="D79" s="11" t="str">
        <f>_xlfn.XLOOKUP(C79,'Dealer Operations'!B:B,'Dealer Operations'!C:C,"Not Found")</f>
        <v>Hyundai Long Beach</v>
      </c>
      <c r="E79" s="11" t="str">
        <f>_xlfn.XLOOKUP(C80,'Dealer Operations'!B:B,'Dealer Operations'!D:D,"Not Found")</f>
        <v>Fred Mercury</v>
      </c>
      <c r="F79" s="26">
        <f>_xlfn.XLOOKUP(A79,'Dealer Operations'!A:A,'Dealer Operations'!E:E,"Not Found")</f>
        <v>46141</v>
      </c>
      <c r="G79" s="3">
        <v>14</v>
      </c>
      <c r="H79" s="3">
        <v>4</v>
      </c>
      <c r="I79" s="2" t="s">
        <v>29</v>
      </c>
      <c r="J79" s="3">
        <f>_xlfn.XLOOKUP(C79,'Dealer Operations'!B:B,'Dealer Operations'!I:I,"Not Found")</f>
        <v>82</v>
      </c>
      <c r="K79" s="4">
        <f>_xlfn.XLOOKUP(C79,'Dealer Operations'!B:B,'Dealer Operations'!J:J,"Not Found")</f>
        <v>9.1999999999999993</v>
      </c>
      <c r="L79" s="4">
        <f>_xlfn.XLOOKUP(C79,'Dealer Operations'!B:B,'Dealer Operations'!K:K,"Not Found")</f>
        <v>83</v>
      </c>
      <c r="M79" s="3">
        <v>7</v>
      </c>
      <c r="N79" s="3">
        <v>0</v>
      </c>
      <c r="O79" s="3">
        <v>11</v>
      </c>
      <c r="P79" s="3">
        <v>1</v>
      </c>
      <c r="Q79" s="6">
        <f t="shared" si="25"/>
        <v>1.6</v>
      </c>
      <c r="R79" s="6">
        <f t="shared" si="26"/>
        <v>1.45</v>
      </c>
      <c r="S79" s="6">
        <f t="shared" si="27"/>
        <v>1</v>
      </c>
      <c r="T79" s="6">
        <f t="shared" si="28"/>
        <v>3.25</v>
      </c>
      <c r="U79" s="6">
        <f t="shared" si="29"/>
        <v>1.1000000000000001</v>
      </c>
      <c r="V79" s="6">
        <f t="shared" si="37"/>
        <v>1.1000000000000001</v>
      </c>
      <c r="W79" s="6">
        <f t="shared" si="30"/>
        <v>1.2</v>
      </c>
      <c r="X79" s="6">
        <f t="shared" si="31"/>
        <v>1.1000000000000001</v>
      </c>
      <c r="Y79" s="6">
        <f t="shared" si="32"/>
        <v>2.8547499999999997</v>
      </c>
      <c r="Z79" s="6">
        <f t="shared" si="33"/>
        <v>1.1200000000000001</v>
      </c>
      <c r="AA79" s="6">
        <f t="shared" si="34"/>
        <v>3.5170520000000001</v>
      </c>
      <c r="AB79" s="6">
        <f t="shared" si="35"/>
        <v>3.5170520000000001</v>
      </c>
      <c r="AC79" s="7" t="str">
        <f t="shared" si="36"/>
        <v>Moderate friction</v>
      </c>
    </row>
    <row r="80" spans="1:29" x14ac:dyDescent="0.35">
      <c r="A80" s="2" t="s">
        <v>119</v>
      </c>
      <c r="B80" s="11">
        <v>0</v>
      </c>
      <c r="C80" s="11">
        <v>44117</v>
      </c>
      <c r="D80" s="11" t="str">
        <f>_xlfn.XLOOKUP(C80,'Dealer Operations'!B:B,'Dealer Operations'!C:C,"Not Found")</f>
        <v>Desert Hyundai</v>
      </c>
      <c r="E80" s="11" t="str">
        <f>_xlfn.XLOOKUP(C81,'Dealer Operations'!B:B,'Dealer Operations'!D:D,"Not Found")</f>
        <v>Fred Mercury</v>
      </c>
      <c r="F80" s="26">
        <f>_xlfn.XLOOKUP(A80,'Dealer Operations'!A:A,'Dealer Operations'!E:E,"Not Found")</f>
        <v>46148</v>
      </c>
      <c r="G80" s="3">
        <v>7</v>
      </c>
      <c r="H80" s="3">
        <v>4</v>
      </c>
      <c r="I80" s="2" t="s">
        <v>29</v>
      </c>
      <c r="J80" s="3">
        <f>_xlfn.XLOOKUP(C80,'Dealer Operations'!B:B,'Dealer Operations'!I:I,"Not Found")</f>
        <v>58</v>
      </c>
      <c r="K80" s="4">
        <f>_xlfn.XLOOKUP(C80,'Dealer Operations'!B:B,'Dealer Operations'!J:J,"Not Found")</f>
        <v>10.5</v>
      </c>
      <c r="L80" s="4">
        <f>_xlfn.XLOOKUP(C80,'Dealer Operations'!B:B,'Dealer Operations'!K:K,"Not Found")</f>
        <v>49</v>
      </c>
      <c r="M80" s="3">
        <v>1</v>
      </c>
      <c r="N80" s="3">
        <v>3</v>
      </c>
      <c r="O80" s="3">
        <v>7</v>
      </c>
      <c r="P80" s="3">
        <v>1</v>
      </c>
      <c r="Q80" s="6">
        <f t="shared" si="25"/>
        <v>1.6</v>
      </c>
      <c r="R80" s="6">
        <f t="shared" si="26"/>
        <v>1.45</v>
      </c>
      <c r="S80" s="6">
        <f t="shared" si="27"/>
        <v>3.25</v>
      </c>
      <c r="T80" s="6">
        <f t="shared" si="28"/>
        <v>1</v>
      </c>
      <c r="U80" s="6">
        <f t="shared" si="29"/>
        <v>1.35</v>
      </c>
      <c r="V80" s="6">
        <f t="shared" si="37"/>
        <v>1.3</v>
      </c>
      <c r="W80" s="6">
        <f t="shared" si="30"/>
        <v>1.4</v>
      </c>
      <c r="X80" s="6">
        <f t="shared" si="31"/>
        <v>1</v>
      </c>
      <c r="Y80" s="6">
        <f t="shared" si="32"/>
        <v>3.530875</v>
      </c>
      <c r="Z80" s="6">
        <f t="shared" si="33"/>
        <v>1.3375000000000001</v>
      </c>
      <c r="AA80" s="6">
        <f t="shared" si="34"/>
        <v>4.7225453125000003</v>
      </c>
      <c r="AB80" s="6">
        <f t="shared" si="35"/>
        <v>4.7225453125000003</v>
      </c>
      <c r="AC80" s="7" t="str">
        <f t="shared" si="36"/>
        <v>Moderate friction</v>
      </c>
    </row>
    <row r="81" spans="1:29" x14ac:dyDescent="0.35">
      <c r="A81" s="2" t="s">
        <v>120</v>
      </c>
      <c r="B81" s="11">
        <v>0</v>
      </c>
      <c r="C81" s="11">
        <v>51244</v>
      </c>
      <c r="D81" s="11" t="str">
        <f>_xlfn.XLOOKUP(C81,'Dealer Operations'!B:B,'Dealer Operations'!C:C,"Not Found")</f>
        <v>Hyundai Long Beach</v>
      </c>
      <c r="E81" s="11" t="str">
        <f>_xlfn.XLOOKUP(C82,'Dealer Operations'!B:B,'Dealer Operations'!D:D,"Not Found")</f>
        <v>Shohei Ohtani</v>
      </c>
      <c r="F81" s="26">
        <f>_xlfn.XLOOKUP(A81,'Dealer Operations'!A:A,'Dealer Operations'!E:E,"Not Found")</f>
        <v>46110</v>
      </c>
      <c r="G81" s="3">
        <v>45</v>
      </c>
      <c r="H81" s="3">
        <v>5</v>
      </c>
      <c r="I81" s="2" t="s">
        <v>38</v>
      </c>
      <c r="J81" s="3">
        <f>_xlfn.XLOOKUP(C81,'Dealer Operations'!B:B,'Dealer Operations'!I:I,"Not Found")</f>
        <v>82</v>
      </c>
      <c r="K81" s="4">
        <f>_xlfn.XLOOKUP(C81,'Dealer Operations'!B:B,'Dealer Operations'!J:J,"Not Found")</f>
        <v>9.1999999999999993</v>
      </c>
      <c r="L81" s="4">
        <f>_xlfn.XLOOKUP(C81,'Dealer Operations'!B:B,'Dealer Operations'!K:K,"Not Found")</f>
        <v>83</v>
      </c>
      <c r="M81" s="3">
        <v>1</v>
      </c>
      <c r="N81" s="3">
        <v>1</v>
      </c>
      <c r="O81" s="3">
        <v>9</v>
      </c>
      <c r="P81" s="3">
        <v>4</v>
      </c>
      <c r="Q81" s="6">
        <f t="shared" si="25"/>
        <v>0.85</v>
      </c>
      <c r="R81" s="6">
        <f t="shared" si="26"/>
        <v>1.45</v>
      </c>
      <c r="S81" s="6">
        <f t="shared" si="27"/>
        <v>1.75</v>
      </c>
      <c r="T81" s="6">
        <f t="shared" si="28"/>
        <v>1</v>
      </c>
      <c r="U81" s="6">
        <f t="shared" si="29"/>
        <v>1.1000000000000001</v>
      </c>
      <c r="V81" s="6">
        <f t="shared" si="37"/>
        <v>1.1000000000000001</v>
      </c>
      <c r="W81" s="6">
        <f t="shared" si="30"/>
        <v>1.2</v>
      </c>
      <c r="X81" s="6">
        <f t="shared" si="31"/>
        <v>2</v>
      </c>
      <c r="Y81" s="6">
        <f t="shared" si="32"/>
        <v>1.7980000000000003</v>
      </c>
      <c r="Z81" s="6">
        <f t="shared" si="33"/>
        <v>1.1200000000000001</v>
      </c>
      <c r="AA81" s="6">
        <f t="shared" si="34"/>
        <v>4.0275200000000009</v>
      </c>
      <c r="AB81" s="6">
        <f t="shared" si="35"/>
        <v>4.0275200000000009</v>
      </c>
      <c r="AC81" s="7" t="str">
        <f t="shared" si="36"/>
        <v>Moderate friction</v>
      </c>
    </row>
    <row r="82" spans="1:29" x14ac:dyDescent="0.35">
      <c r="A82" s="2" t="s">
        <v>121</v>
      </c>
      <c r="B82" s="11">
        <v>0</v>
      </c>
      <c r="C82" s="11">
        <v>39018</v>
      </c>
      <c r="D82" s="11" t="str">
        <f>_xlfn.XLOOKUP(C82,'Dealer Operations'!B:B,'Dealer Operations'!C:C,"Not Found")</f>
        <v>Huntington Beach Hyundai</v>
      </c>
      <c r="E82" s="11" t="str">
        <f>_xlfn.XLOOKUP(C83,'Dealer Operations'!B:B,'Dealer Operations'!D:D,"Not Found")</f>
        <v>Fred Mercury</v>
      </c>
      <c r="F82" s="26">
        <f>_xlfn.XLOOKUP(A82,'Dealer Operations'!A:A,'Dealer Operations'!E:E,"Not Found")</f>
        <v>46147</v>
      </c>
      <c r="G82" s="3">
        <v>8</v>
      </c>
      <c r="H82" s="3">
        <v>0</v>
      </c>
      <c r="I82" s="2" t="s">
        <v>38</v>
      </c>
      <c r="J82" s="3">
        <f>_xlfn.XLOOKUP(C82,'Dealer Operations'!B:B,'Dealer Operations'!I:I,"Not Found")</f>
        <v>73</v>
      </c>
      <c r="K82" s="4">
        <f>_xlfn.XLOOKUP(C82,'Dealer Operations'!B:B,'Dealer Operations'!J:J,"Not Found")</f>
        <v>9.9</v>
      </c>
      <c r="L82" s="4">
        <f>_xlfn.XLOOKUP(C82,'Dealer Operations'!B:B,'Dealer Operations'!K:K,"Not Found")</f>
        <v>79</v>
      </c>
      <c r="M82" s="3">
        <v>6</v>
      </c>
      <c r="N82" s="3">
        <v>2</v>
      </c>
      <c r="O82" s="3">
        <v>5</v>
      </c>
      <c r="P82" s="3">
        <v>4</v>
      </c>
      <c r="Q82" s="6">
        <f t="shared" si="25"/>
        <v>0.85</v>
      </c>
      <c r="R82" s="6">
        <f t="shared" si="26"/>
        <v>1</v>
      </c>
      <c r="S82" s="6">
        <f t="shared" si="27"/>
        <v>2.5</v>
      </c>
      <c r="T82" s="6">
        <f t="shared" si="28"/>
        <v>3.25</v>
      </c>
      <c r="U82" s="6">
        <f t="shared" si="29"/>
        <v>1.25</v>
      </c>
      <c r="V82" s="6">
        <f t="shared" si="37"/>
        <v>1.1000000000000001</v>
      </c>
      <c r="W82" s="6">
        <f t="shared" si="30"/>
        <v>1.2</v>
      </c>
      <c r="X82" s="6">
        <f t="shared" si="31"/>
        <v>1.1000000000000001</v>
      </c>
      <c r="Y82" s="6">
        <f t="shared" si="32"/>
        <v>2.653</v>
      </c>
      <c r="Z82" s="6">
        <f t="shared" si="33"/>
        <v>1.1725000000000001</v>
      </c>
      <c r="AA82" s="6">
        <f t="shared" si="34"/>
        <v>3.4217067500000007</v>
      </c>
      <c r="AB82" s="6">
        <f t="shared" si="35"/>
        <v>3.4217067500000007</v>
      </c>
      <c r="AC82" s="7" t="str">
        <f t="shared" si="36"/>
        <v>Moderate friction</v>
      </c>
    </row>
    <row r="83" spans="1:29" x14ac:dyDescent="0.35">
      <c r="A83" s="2" t="s">
        <v>122</v>
      </c>
      <c r="B83" s="11">
        <v>0</v>
      </c>
      <c r="C83" s="11">
        <v>99214</v>
      </c>
      <c r="D83" s="11" t="str">
        <f>_xlfn.XLOOKUP(C83,'Dealer Operations'!B:B,'Dealer Operations'!C:C,"Not Found")</f>
        <v>Temecula Hyundai</v>
      </c>
      <c r="E83" s="11" t="str">
        <f>_xlfn.XLOOKUP(C84,'Dealer Operations'!B:B,'Dealer Operations'!D:D,"Not Found")</f>
        <v>Fred Mercury</v>
      </c>
      <c r="F83" s="26">
        <f>_xlfn.XLOOKUP(A83,'Dealer Operations'!A:A,'Dealer Operations'!E:E,"Not Found")</f>
        <v>46115</v>
      </c>
      <c r="G83" s="3">
        <v>40</v>
      </c>
      <c r="H83" s="3">
        <v>0</v>
      </c>
      <c r="I83" s="2" t="s">
        <v>38</v>
      </c>
      <c r="J83" s="3">
        <f>_xlfn.XLOOKUP(C83,'Dealer Operations'!B:B,'Dealer Operations'!I:I,"Not Found")</f>
        <v>68</v>
      </c>
      <c r="K83" s="4">
        <f>_xlfn.XLOOKUP(C83,'Dealer Operations'!B:B,'Dealer Operations'!J:J,"Not Found")</f>
        <v>8.4</v>
      </c>
      <c r="L83" s="4">
        <f>_xlfn.XLOOKUP(C83,'Dealer Operations'!B:B,'Dealer Operations'!K:K,"Not Found")</f>
        <v>88</v>
      </c>
      <c r="M83" s="3">
        <v>1</v>
      </c>
      <c r="N83" s="3">
        <v>1</v>
      </c>
      <c r="O83" s="3">
        <v>3</v>
      </c>
      <c r="P83" s="3">
        <v>3</v>
      </c>
      <c r="Q83" s="6">
        <f t="shared" si="25"/>
        <v>0.85</v>
      </c>
      <c r="R83" s="6">
        <f t="shared" si="26"/>
        <v>1</v>
      </c>
      <c r="S83" s="6">
        <f t="shared" si="27"/>
        <v>1.75</v>
      </c>
      <c r="T83" s="6">
        <f t="shared" si="28"/>
        <v>1</v>
      </c>
      <c r="U83" s="6">
        <f t="shared" si="29"/>
        <v>1.25</v>
      </c>
      <c r="V83" s="6">
        <f t="shared" si="37"/>
        <v>1.1000000000000001</v>
      </c>
      <c r="W83" s="6">
        <f t="shared" si="30"/>
        <v>1.1000000000000001</v>
      </c>
      <c r="X83" s="6">
        <f t="shared" si="31"/>
        <v>2</v>
      </c>
      <c r="Y83" s="6">
        <f t="shared" si="32"/>
        <v>1.3738750000000002</v>
      </c>
      <c r="Z83" s="6">
        <f t="shared" si="33"/>
        <v>1.1525000000000001</v>
      </c>
      <c r="AA83" s="6">
        <f t="shared" si="34"/>
        <v>3.1667818750000007</v>
      </c>
      <c r="AB83" s="6">
        <f t="shared" si="35"/>
        <v>3.1667818750000007</v>
      </c>
      <c r="AC83" s="7" t="str">
        <f t="shared" si="36"/>
        <v>Moderate friction</v>
      </c>
    </row>
    <row r="84" spans="1:29" x14ac:dyDescent="0.35">
      <c r="A84" s="2" t="s">
        <v>41</v>
      </c>
      <c r="B84" s="11">
        <v>1</v>
      </c>
      <c r="C84" s="11">
        <v>77841</v>
      </c>
      <c r="D84" s="11" t="str">
        <f>_xlfn.XLOOKUP(C84,'Dealer Operations'!B:B,'Dealer Operations'!C:C,"Not Found")</f>
        <v>Victorville Hyundai</v>
      </c>
      <c r="E84" s="11" t="str">
        <f>_xlfn.XLOOKUP(C85,'Dealer Operations'!B:B,'Dealer Operations'!D:D,"Not Found")</f>
        <v>Shohei Ohtani</v>
      </c>
      <c r="F84" s="26">
        <f>_xlfn.XLOOKUP(A84,'Dealer Operations'!A:A,'Dealer Operations'!E:E,"Not Found")</f>
        <v>46119</v>
      </c>
      <c r="G84" s="3">
        <v>36</v>
      </c>
      <c r="H84" s="3">
        <v>4</v>
      </c>
      <c r="I84" s="2" t="s">
        <v>29</v>
      </c>
      <c r="J84" s="3">
        <f>_xlfn.XLOOKUP(C84,'Dealer Operations'!B:B,'Dealer Operations'!I:I,"Not Found")</f>
        <v>86</v>
      </c>
      <c r="K84" s="4">
        <f>_xlfn.XLOOKUP(C84,'Dealer Operations'!B:B,'Dealer Operations'!J:J,"Not Found")</f>
        <v>8</v>
      </c>
      <c r="L84" s="4">
        <f>_xlfn.XLOOKUP(C84,'Dealer Operations'!B:B,'Dealer Operations'!K:K,"Not Found")</f>
        <v>80</v>
      </c>
      <c r="M84" s="3">
        <v>9</v>
      </c>
      <c r="N84" s="3">
        <v>3</v>
      </c>
      <c r="O84" s="3">
        <v>1</v>
      </c>
      <c r="P84" s="3">
        <v>3</v>
      </c>
      <c r="Q84" s="6">
        <f t="shared" si="25"/>
        <v>1.6</v>
      </c>
      <c r="R84" s="6">
        <f t="shared" si="26"/>
        <v>1.45</v>
      </c>
      <c r="S84" s="6">
        <f t="shared" si="27"/>
        <v>3.25</v>
      </c>
      <c r="T84" s="6">
        <f t="shared" si="28"/>
        <v>3.75</v>
      </c>
      <c r="U84" s="6">
        <f t="shared" si="29"/>
        <v>1</v>
      </c>
      <c r="V84" s="6">
        <f t="shared" si="37"/>
        <v>1.1000000000000001</v>
      </c>
      <c r="W84" s="6">
        <f t="shared" si="30"/>
        <v>1.2</v>
      </c>
      <c r="X84" s="6">
        <f t="shared" si="31"/>
        <v>2</v>
      </c>
      <c r="Y84" s="6">
        <f t="shared" si="32"/>
        <v>5.1836250000000001</v>
      </c>
      <c r="Z84" s="6">
        <f t="shared" si="33"/>
        <v>1.085</v>
      </c>
      <c r="AA84" s="6">
        <f t="shared" si="34"/>
        <v>11.24846625</v>
      </c>
      <c r="AB84" s="6">
        <f t="shared" si="35"/>
        <v>11.24846625</v>
      </c>
      <c r="AC84" s="7" t="str">
        <f t="shared" si="36"/>
        <v>Severe exposure</v>
      </c>
    </row>
    <row r="85" spans="1:29" x14ac:dyDescent="0.35">
      <c r="A85" s="2" t="s">
        <v>42</v>
      </c>
      <c r="B85" s="11">
        <v>1</v>
      </c>
      <c r="C85" s="11">
        <v>39018</v>
      </c>
      <c r="D85" s="11" t="str">
        <f>_xlfn.XLOOKUP(C85,'Dealer Operations'!B:B,'Dealer Operations'!C:C,"Not Found")</f>
        <v>Huntington Beach Hyundai</v>
      </c>
      <c r="E85" s="11" t="str">
        <f>_xlfn.XLOOKUP(C86,'Dealer Operations'!B:B,'Dealer Operations'!D:D,"Not Found")</f>
        <v>Shohei Ohtani</v>
      </c>
      <c r="F85" s="26">
        <f>_xlfn.XLOOKUP(A85,'Dealer Operations'!A:A,'Dealer Operations'!E:E,"Not Found")</f>
        <v>46116</v>
      </c>
      <c r="G85" s="3">
        <v>39</v>
      </c>
      <c r="H85" s="3">
        <v>5</v>
      </c>
      <c r="I85" s="2" t="s">
        <v>31</v>
      </c>
      <c r="J85" s="3">
        <f>_xlfn.XLOOKUP(C85,'Dealer Operations'!B:B,'Dealer Operations'!I:I,"Not Found")</f>
        <v>73</v>
      </c>
      <c r="K85" s="4">
        <f>_xlfn.XLOOKUP(C85,'Dealer Operations'!B:B,'Dealer Operations'!J:J,"Not Found")</f>
        <v>9.9</v>
      </c>
      <c r="L85" s="4">
        <f>_xlfn.XLOOKUP(C85,'Dealer Operations'!B:B,'Dealer Operations'!K:K,"Not Found")</f>
        <v>79</v>
      </c>
      <c r="M85" s="3">
        <v>4</v>
      </c>
      <c r="N85" s="3">
        <v>6</v>
      </c>
      <c r="O85" s="3">
        <v>5</v>
      </c>
      <c r="P85" s="3">
        <v>3</v>
      </c>
      <c r="Q85" s="6">
        <f t="shared" si="25"/>
        <v>1.3</v>
      </c>
      <c r="R85" s="6">
        <f t="shared" si="26"/>
        <v>1.45</v>
      </c>
      <c r="S85" s="6">
        <f t="shared" si="27"/>
        <v>4</v>
      </c>
      <c r="T85" s="6">
        <f t="shared" si="28"/>
        <v>2.5</v>
      </c>
      <c r="U85" s="6">
        <f t="shared" si="29"/>
        <v>1.25</v>
      </c>
      <c r="V85" s="6">
        <f t="shared" si="37"/>
        <v>1.1000000000000001</v>
      </c>
      <c r="W85" s="6">
        <f t="shared" si="30"/>
        <v>1.2</v>
      </c>
      <c r="X85" s="6">
        <f t="shared" si="31"/>
        <v>2</v>
      </c>
      <c r="Y85" s="6">
        <f t="shared" si="32"/>
        <v>4.7515000000000001</v>
      </c>
      <c r="Z85" s="6">
        <f t="shared" si="33"/>
        <v>1.1725000000000001</v>
      </c>
      <c r="AA85" s="6">
        <f t="shared" si="34"/>
        <v>11.142267500000001</v>
      </c>
      <c r="AB85" s="6">
        <f t="shared" si="35"/>
        <v>11.142267500000001</v>
      </c>
      <c r="AC85" s="7" t="str">
        <f t="shared" si="36"/>
        <v>Severe exposure</v>
      </c>
    </row>
    <row r="86" spans="1:29" x14ac:dyDescent="0.35">
      <c r="A86" s="2" t="s">
        <v>43</v>
      </c>
      <c r="B86" s="11">
        <v>1</v>
      </c>
      <c r="C86" s="11">
        <v>39018</v>
      </c>
      <c r="D86" s="11" t="str">
        <f>_xlfn.XLOOKUP(C86,'Dealer Operations'!B:B,'Dealer Operations'!C:C,"Not Found")</f>
        <v>Huntington Beach Hyundai</v>
      </c>
      <c r="E86" s="11" t="str">
        <f>_xlfn.XLOOKUP(C87,'Dealer Operations'!B:B,'Dealer Operations'!D:D,"Not Found")</f>
        <v>Shohei Ohtani</v>
      </c>
      <c r="F86" s="26">
        <f>_xlfn.XLOOKUP(A86,'Dealer Operations'!A:A,'Dealer Operations'!E:E,"Not Found")</f>
        <v>46125</v>
      </c>
      <c r="G86" s="3">
        <v>30</v>
      </c>
      <c r="H86" s="3">
        <v>4</v>
      </c>
      <c r="I86" s="2" t="s">
        <v>38</v>
      </c>
      <c r="J86" s="3">
        <f>_xlfn.XLOOKUP(C86,'Dealer Operations'!B:B,'Dealer Operations'!I:I,"Not Found")</f>
        <v>73</v>
      </c>
      <c r="K86" s="4">
        <f>_xlfn.XLOOKUP(C86,'Dealer Operations'!B:B,'Dealer Operations'!J:J,"Not Found")</f>
        <v>9.9</v>
      </c>
      <c r="L86" s="4">
        <f>_xlfn.XLOOKUP(C86,'Dealer Operations'!B:B,'Dealer Operations'!K:K,"Not Found")</f>
        <v>79</v>
      </c>
      <c r="M86" s="3">
        <v>10</v>
      </c>
      <c r="N86" s="3">
        <v>6</v>
      </c>
      <c r="O86" s="3">
        <v>9</v>
      </c>
      <c r="P86" s="3">
        <v>3</v>
      </c>
      <c r="Q86" s="6">
        <f t="shared" si="25"/>
        <v>0.85</v>
      </c>
      <c r="R86" s="6">
        <f t="shared" si="26"/>
        <v>1.45</v>
      </c>
      <c r="S86" s="6">
        <f t="shared" si="27"/>
        <v>4</v>
      </c>
      <c r="T86" s="6">
        <f t="shared" si="28"/>
        <v>3.75</v>
      </c>
      <c r="U86" s="6">
        <f t="shared" si="29"/>
        <v>1.25</v>
      </c>
      <c r="V86" s="6">
        <f t="shared" si="37"/>
        <v>1.1000000000000001</v>
      </c>
      <c r="W86" s="6">
        <f t="shared" si="30"/>
        <v>1.2</v>
      </c>
      <c r="X86" s="6">
        <f t="shared" si="31"/>
        <v>2</v>
      </c>
      <c r="Y86" s="6">
        <f t="shared" si="32"/>
        <v>4.8360000000000003</v>
      </c>
      <c r="Z86" s="6">
        <f t="shared" si="33"/>
        <v>1.1725000000000001</v>
      </c>
      <c r="AA86" s="6">
        <f t="shared" si="34"/>
        <v>11.340420000000002</v>
      </c>
      <c r="AB86" s="6">
        <f t="shared" si="35"/>
        <v>11.340420000000002</v>
      </c>
      <c r="AC86" s="7" t="str">
        <f t="shared" si="36"/>
        <v>Severe exposure</v>
      </c>
    </row>
    <row r="87" spans="1:29" x14ac:dyDescent="0.35">
      <c r="A87" s="2" t="s">
        <v>46</v>
      </c>
      <c r="B87" s="11">
        <v>1</v>
      </c>
      <c r="C87" s="11">
        <v>39018</v>
      </c>
      <c r="D87" s="11" t="str">
        <f>_xlfn.XLOOKUP(C87,'Dealer Operations'!B:B,'Dealer Operations'!C:C,"Not Found")</f>
        <v>Huntington Beach Hyundai</v>
      </c>
      <c r="E87" s="11" t="str">
        <f>_xlfn.XLOOKUP(C88,'Dealer Operations'!B:B,'Dealer Operations'!D:D,"Not Found")</f>
        <v>Shohei Ohtani</v>
      </c>
      <c r="F87" s="26">
        <f>_xlfn.XLOOKUP(A87,'Dealer Operations'!A:A,'Dealer Operations'!E:E,"Not Found")</f>
        <v>46120</v>
      </c>
      <c r="G87" s="3">
        <v>35</v>
      </c>
      <c r="H87" s="3">
        <v>5</v>
      </c>
      <c r="I87" s="2" t="s">
        <v>31</v>
      </c>
      <c r="J87" s="3">
        <f>_xlfn.XLOOKUP(C87,'Dealer Operations'!B:B,'Dealer Operations'!I:I,"Not Found")</f>
        <v>73</v>
      </c>
      <c r="K87" s="4">
        <f>_xlfn.XLOOKUP(C87,'Dealer Operations'!B:B,'Dealer Operations'!J:J,"Not Found")</f>
        <v>9.9</v>
      </c>
      <c r="L87" s="4">
        <f>_xlfn.XLOOKUP(C87,'Dealer Operations'!B:B,'Dealer Operations'!K:K,"Not Found")</f>
        <v>79</v>
      </c>
      <c r="M87" s="3">
        <v>5</v>
      </c>
      <c r="N87" s="3">
        <v>7</v>
      </c>
      <c r="O87" s="3">
        <v>7</v>
      </c>
      <c r="P87" s="3">
        <v>3</v>
      </c>
      <c r="Q87" s="6">
        <f t="shared" si="25"/>
        <v>1.3</v>
      </c>
      <c r="R87" s="6">
        <f t="shared" si="26"/>
        <v>1.45</v>
      </c>
      <c r="S87" s="6">
        <f t="shared" si="27"/>
        <v>4</v>
      </c>
      <c r="T87" s="6">
        <f t="shared" si="28"/>
        <v>2.5</v>
      </c>
      <c r="U87" s="6">
        <f t="shared" si="29"/>
        <v>1.25</v>
      </c>
      <c r="V87" s="6">
        <f t="shared" si="37"/>
        <v>1.1000000000000001</v>
      </c>
      <c r="W87" s="6">
        <f t="shared" si="30"/>
        <v>1.2</v>
      </c>
      <c r="X87" s="6">
        <f t="shared" si="31"/>
        <v>2</v>
      </c>
      <c r="Y87" s="6">
        <f t="shared" si="32"/>
        <v>4.7515000000000001</v>
      </c>
      <c r="Z87" s="6">
        <f t="shared" si="33"/>
        <v>1.1725000000000001</v>
      </c>
      <c r="AA87" s="6">
        <f t="shared" si="34"/>
        <v>11.142267500000001</v>
      </c>
      <c r="AB87" s="6">
        <f t="shared" si="35"/>
        <v>11.142267500000001</v>
      </c>
      <c r="AC87" s="7" t="str">
        <f t="shared" si="36"/>
        <v>Severe exposure</v>
      </c>
    </row>
    <row r="88" spans="1:29" x14ac:dyDescent="0.35">
      <c r="A88" s="2" t="s">
        <v>47</v>
      </c>
      <c r="B88" s="11">
        <v>1</v>
      </c>
      <c r="C88" s="11">
        <v>66520</v>
      </c>
      <c r="D88" s="11" t="str">
        <f>_xlfn.XLOOKUP(C88,'Dealer Operations'!B:B,'Dealer Operations'!C:C,"Not Found")</f>
        <v>Hyundai Santa Monica</v>
      </c>
      <c r="E88" s="11" t="str">
        <f>_xlfn.XLOOKUP(C89,'Dealer Operations'!B:B,'Dealer Operations'!D:D,"Not Found")</f>
        <v>Shohei Ohtani</v>
      </c>
      <c r="F88" s="26">
        <f>_xlfn.XLOOKUP(A88,'Dealer Operations'!A:A,'Dealer Operations'!E:E,"Not Found")</f>
        <v>46124</v>
      </c>
      <c r="G88" s="3">
        <v>31</v>
      </c>
      <c r="H88" s="3">
        <v>5</v>
      </c>
      <c r="I88" s="2" t="s">
        <v>38</v>
      </c>
      <c r="J88" s="3">
        <f>_xlfn.XLOOKUP(C88,'Dealer Operations'!B:B,'Dealer Operations'!I:I,"Not Found")</f>
        <v>82</v>
      </c>
      <c r="K88" s="4">
        <f>_xlfn.XLOOKUP(C88,'Dealer Operations'!B:B,'Dealer Operations'!J:J,"Not Found")</f>
        <v>10.1</v>
      </c>
      <c r="L88" s="4">
        <f>_xlfn.XLOOKUP(C88,'Dealer Operations'!B:B,'Dealer Operations'!K:K,"Not Found")</f>
        <v>56</v>
      </c>
      <c r="M88" s="3">
        <v>10</v>
      </c>
      <c r="N88" s="3">
        <v>4</v>
      </c>
      <c r="O88" s="3">
        <v>9</v>
      </c>
      <c r="P88" s="3">
        <v>1</v>
      </c>
      <c r="Q88" s="6">
        <f t="shared" si="25"/>
        <v>0.85</v>
      </c>
      <c r="R88" s="6">
        <f t="shared" si="26"/>
        <v>1.45</v>
      </c>
      <c r="S88" s="6">
        <f t="shared" si="27"/>
        <v>4</v>
      </c>
      <c r="T88" s="6">
        <f t="shared" si="28"/>
        <v>3.75</v>
      </c>
      <c r="U88" s="6">
        <f t="shared" si="29"/>
        <v>1.1000000000000001</v>
      </c>
      <c r="V88" s="6">
        <f t="shared" si="37"/>
        <v>1.3</v>
      </c>
      <c r="W88" s="6">
        <f t="shared" si="30"/>
        <v>1.4</v>
      </c>
      <c r="X88" s="6">
        <f t="shared" si="31"/>
        <v>2</v>
      </c>
      <c r="Y88" s="6">
        <f t="shared" si="32"/>
        <v>4.8360000000000003</v>
      </c>
      <c r="Z88" s="6">
        <f t="shared" si="33"/>
        <v>1.25</v>
      </c>
      <c r="AA88" s="6">
        <f t="shared" si="34"/>
        <v>12.09</v>
      </c>
      <c r="AB88" s="6">
        <f t="shared" si="35"/>
        <v>12.09</v>
      </c>
      <c r="AC88" s="7" t="str">
        <f t="shared" si="36"/>
        <v>Critical / Executive intervention</v>
      </c>
    </row>
    <row r="89" spans="1:29" x14ac:dyDescent="0.35">
      <c r="A89" s="2" t="s">
        <v>44</v>
      </c>
      <c r="B89" s="11">
        <v>1</v>
      </c>
      <c r="C89" s="11">
        <v>20318</v>
      </c>
      <c r="D89" s="11" t="str">
        <f>_xlfn.XLOOKUP(C89,'Dealer Operations'!B:B,'Dealer Operations'!C:C,"Not Found")</f>
        <v>Ontario Hyundai</v>
      </c>
      <c r="E89" s="11" t="str">
        <f>_xlfn.XLOOKUP(C90,'Dealer Operations'!B:B,'Dealer Operations'!D:D,"Not Found")</f>
        <v>Shohei Ohtani</v>
      </c>
      <c r="F89" s="26">
        <f>_xlfn.XLOOKUP(A89,'Dealer Operations'!A:A,'Dealer Operations'!E:E,"Not Found")</f>
        <v>46109</v>
      </c>
      <c r="G89" s="3">
        <v>46</v>
      </c>
      <c r="H89" s="3">
        <v>5</v>
      </c>
      <c r="I89" s="2" t="s">
        <v>31</v>
      </c>
      <c r="J89" s="3">
        <f>_xlfn.XLOOKUP(C89,'Dealer Operations'!B:B,'Dealer Operations'!I:I,"Not Found")</f>
        <v>86</v>
      </c>
      <c r="K89" s="4">
        <f>_xlfn.XLOOKUP(C89,'Dealer Operations'!B:B,'Dealer Operations'!J:J,"Not Found")</f>
        <v>7.4</v>
      </c>
      <c r="L89" s="4">
        <f>_xlfn.XLOOKUP(C89,'Dealer Operations'!B:B,'Dealer Operations'!K:K,"Not Found")</f>
        <v>94</v>
      </c>
      <c r="M89" s="3">
        <v>9</v>
      </c>
      <c r="N89" s="3">
        <v>3</v>
      </c>
      <c r="O89" s="3">
        <v>4</v>
      </c>
      <c r="P89" s="3">
        <v>1</v>
      </c>
      <c r="Q89" s="6">
        <f t="shared" si="25"/>
        <v>1.3</v>
      </c>
      <c r="R89" s="6">
        <f t="shared" si="26"/>
        <v>1.45</v>
      </c>
      <c r="S89" s="6">
        <f t="shared" si="27"/>
        <v>3.25</v>
      </c>
      <c r="T89" s="6">
        <f t="shared" si="28"/>
        <v>3.75</v>
      </c>
      <c r="U89" s="6">
        <f t="shared" si="29"/>
        <v>1</v>
      </c>
      <c r="V89" s="6">
        <f t="shared" si="37"/>
        <v>1.1000000000000001</v>
      </c>
      <c r="W89" s="6">
        <f t="shared" si="30"/>
        <v>1.1000000000000001</v>
      </c>
      <c r="X89" s="6">
        <f t="shared" si="31"/>
        <v>2</v>
      </c>
      <c r="Y89" s="6">
        <f t="shared" si="32"/>
        <v>4.8213749999999997</v>
      </c>
      <c r="Z89" s="6">
        <f t="shared" si="33"/>
        <v>1.0649999999999999</v>
      </c>
      <c r="AA89" s="6">
        <f t="shared" si="34"/>
        <v>10.269528749999999</v>
      </c>
      <c r="AB89" s="6">
        <f t="shared" si="35"/>
        <v>10.269528749999999</v>
      </c>
      <c r="AC89" s="7" t="str">
        <f t="shared" si="36"/>
        <v>Severe exposure</v>
      </c>
    </row>
    <row r="90" spans="1:29" x14ac:dyDescent="0.35">
      <c r="A90" s="2" t="s">
        <v>45</v>
      </c>
      <c r="B90" s="11">
        <v>1</v>
      </c>
      <c r="C90" s="11">
        <v>39018</v>
      </c>
      <c r="D90" s="11" t="str">
        <f>_xlfn.XLOOKUP(C90,'Dealer Operations'!B:B,'Dealer Operations'!C:C,"Not Found")</f>
        <v>Huntington Beach Hyundai</v>
      </c>
      <c r="E90" s="11" t="str">
        <f>_xlfn.XLOOKUP(C91,'Dealer Operations'!B:B,'Dealer Operations'!D:D,"Not Found")</f>
        <v>Shohei Ohtani</v>
      </c>
      <c r="F90" s="26">
        <f>_xlfn.XLOOKUP(A90,'Dealer Operations'!A:A,'Dealer Operations'!E:E,"Not Found")</f>
        <v>46132</v>
      </c>
      <c r="G90" s="3">
        <v>23</v>
      </c>
      <c r="H90" s="3">
        <v>3</v>
      </c>
      <c r="I90" s="2" t="s">
        <v>31</v>
      </c>
      <c r="J90" s="3">
        <f>_xlfn.XLOOKUP(C90,'Dealer Operations'!B:B,'Dealer Operations'!I:I,"Not Found")</f>
        <v>73</v>
      </c>
      <c r="K90" s="4">
        <f>_xlfn.XLOOKUP(C90,'Dealer Operations'!B:B,'Dealer Operations'!J:J,"Not Found")</f>
        <v>9.9</v>
      </c>
      <c r="L90" s="4">
        <f>_xlfn.XLOOKUP(C90,'Dealer Operations'!B:B,'Dealer Operations'!K:K,"Not Found")</f>
        <v>79</v>
      </c>
      <c r="M90" s="3">
        <v>9</v>
      </c>
      <c r="N90" s="3">
        <v>6</v>
      </c>
      <c r="O90" s="3">
        <v>2</v>
      </c>
      <c r="P90" s="3">
        <v>1</v>
      </c>
      <c r="Q90" s="6">
        <f t="shared" si="25"/>
        <v>1.3</v>
      </c>
      <c r="R90" s="6">
        <f t="shared" si="26"/>
        <v>1.3</v>
      </c>
      <c r="S90" s="6">
        <f t="shared" si="27"/>
        <v>4</v>
      </c>
      <c r="T90" s="6">
        <f t="shared" si="28"/>
        <v>3.75</v>
      </c>
      <c r="U90" s="6">
        <f t="shared" si="29"/>
        <v>1.25</v>
      </c>
      <c r="V90" s="6">
        <f t="shared" si="37"/>
        <v>1.1000000000000001</v>
      </c>
      <c r="W90" s="6">
        <f t="shared" si="30"/>
        <v>1.2</v>
      </c>
      <c r="X90" s="6">
        <f t="shared" si="31"/>
        <v>1.5</v>
      </c>
      <c r="Y90" s="6">
        <f t="shared" si="32"/>
        <v>5.07</v>
      </c>
      <c r="Z90" s="6">
        <f t="shared" si="33"/>
        <v>1.1725000000000001</v>
      </c>
      <c r="AA90" s="6">
        <f t="shared" si="34"/>
        <v>8.9168625000000006</v>
      </c>
      <c r="AB90" s="6">
        <f t="shared" si="35"/>
        <v>8.9168625000000006</v>
      </c>
      <c r="AC90" s="7" t="str">
        <f t="shared" si="36"/>
        <v>High escalation risk</v>
      </c>
    </row>
    <row r="91" spans="1:29" x14ac:dyDescent="0.35">
      <c r="A91" s="2" t="s">
        <v>48</v>
      </c>
      <c r="B91" s="11">
        <v>1</v>
      </c>
      <c r="C91" s="11">
        <v>55102</v>
      </c>
      <c r="D91" s="11" t="str">
        <f>_xlfn.XLOOKUP(C91,'Dealer Operations'!B:B,'Dealer Operations'!C:C,"Not Found")</f>
        <v>Riverside Hyundai</v>
      </c>
      <c r="E91" s="11" t="str">
        <f>_xlfn.XLOOKUP(C92,'Dealer Operations'!B:B,'Dealer Operations'!D:D,"Not Found")</f>
        <v>Shohei Ohtani</v>
      </c>
      <c r="F91" s="26">
        <f>_xlfn.XLOOKUP(A91,'Dealer Operations'!A:A,'Dealer Operations'!E:E,"Not Found")</f>
        <v>46115</v>
      </c>
      <c r="G91" s="3">
        <v>40</v>
      </c>
      <c r="H91" s="3">
        <v>4</v>
      </c>
      <c r="I91" s="2" t="s">
        <v>38</v>
      </c>
      <c r="J91" s="3">
        <f>_xlfn.XLOOKUP(C91,'Dealer Operations'!B:B,'Dealer Operations'!I:I,"Not Found")</f>
        <v>94</v>
      </c>
      <c r="K91" s="4">
        <f>_xlfn.XLOOKUP(C91,'Dealer Operations'!B:B,'Dealer Operations'!J:J,"Not Found")</f>
        <v>8.4</v>
      </c>
      <c r="L91" s="4">
        <f>_xlfn.XLOOKUP(C91,'Dealer Operations'!B:B,'Dealer Operations'!K:K,"Not Found")</f>
        <v>87</v>
      </c>
      <c r="M91" s="3">
        <v>7</v>
      </c>
      <c r="N91" s="3">
        <v>7</v>
      </c>
      <c r="O91" s="3">
        <v>11</v>
      </c>
      <c r="P91" s="3">
        <v>1</v>
      </c>
      <c r="Q91" s="6">
        <f t="shared" si="25"/>
        <v>0.85</v>
      </c>
      <c r="R91" s="6">
        <f t="shared" si="26"/>
        <v>1.45</v>
      </c>
      <c r="S91" s="6">
        <f t="shared" si="27"/>
        <v>4</v>
      </c>
      <c r="T91" s="6">
        <f t="shared" si="28"/>
        <v>3.25</v>
      </c>
      <c r="U91" s="6">
        <f t="shared" si="29"/>
        <v>1</v>
      </c>
      <c r="V91" s="6">
        <f t="shared" si="37"/>
        <v>1.1000000000000001</v>
      </c>
      <c r="W91" s="6">
        <f t="shared" si="30"/>
        <v>1.1000000000000001</v>
      </c>
      <c r="X91" s="6">
        <f t="shared" si="31"/>
        <v>2</v>
      </c>
      <c r="Y91" s="6">
        <f t="shared" si="32"/>
        <v>4.5880000000000001</v>
      </c>
      <c r="Z91" s="6">
        <f t="shared" si="33"/>
        <v>1.0649999999999999</v>
      </c>
      <c r="AA91" s="6">
        <f t="shared" si="34"/>
        <v>9.7724399999999996</v>
      </c>
      <c r="AB91" s="6">
        <f t="shared" si="35"/>
        <v>9.7724399999999996</v>
      </c>
      <c r="AC91" s="7" t="str">
        <f t="shared" si="36"/>
        <v>High escalation risk</v>
      </c>
    </row>
    <row r="92" spans="1:29" x14ac:dyDescent="0.35">
      <c r="A92" s="2" t="s">
        <v>49</v>
      </c>
      <c r="B92" s="11">
        <v>1</v>
      </c>
      <c r="C92" s="11">
        <v>66520</v>
      </c>
      <c r="D92" s="11" t="str">
        <f>_xlfn.XLOOKUP(C92,'Dealer Operations'!B:B,'Dealer Operations'!C:C,"Not Found")</f>
        <v>Hyundai Santa Monica</v>
      </c>
      <c r="E92" s="11" t="str">
        <f>_xlfn.XLOOKUP(C93,'Dealer Operations'!B:B,'Dealer Operations'!D:D,"Not Found")</f>
        <v>Fred Mercury</v>
      </c>
      <c r="F92" s="26">
        <f>_xlfn.XLOOKUP(A92,'Dealer Operations'!A:A,'Dealer Operations'!E:E,"Not Found")</f>
        <v>46125</v>
      </c>
      <c r="G92" s="3">
        <v>30</v>
      </c>
      <c r="H92" s="3">
        <v>5</v>
      </c>
      <c r="I92" s="2" t="s">
        <v>38</v>
      </c>
      <c r="J92" s="3">
        <f>_xlfn.XLOOKUP(C92,'Dealer Operations'!B:B,'Dealer Operations'!I:I,"Not Found")</f>
        <v>82</v>
      </c>
      <c r="K92" s="4">
        <f>_xlfn.XLOOKUP(C92,'Dealer Operations'!B:B,'Dealer Operations'!J:J,"Not Found")</f>
        <v>10.1</v>
      </c>
      <c r="L92" s="4">
        <f>_xlfn.XLOOKUP(C92,'Dealer Operations'!B:B,'Dealer Operations'!K:K,"Not Found")</f>
        <v>56</v>
      </c>
      <c r="M92" s="3">
        <v>6</v>
      </c>
      <c r="N92" s="3">
        <v>6</v>
      </c>
      <c r="O92" s="3">
        <v>4</v>
      </c>
      <c r="P92" s="3">
        <v>4</v>
      </c>
      <c r="Q92" s="6">
        <f t="shared" si="25"/>
        <v>0.85</v>
      </c>
      <c r="R92" s="6">
        <f t="shared" si="26"/>
        <v>1.45</v>
      </c>
      <c r="S92" s="6">
        <f t="shared" si="27"/>
        <v>4</v>
      </c>
      <c r="T92" s="6">
        <f t="shared" si="28"/>
        <v>3.25</v>
      </c>
      <c r="U92" s="6">
        <f t="shared" si="29"/>
        <v>1.1000000000000001</v>
      </c>
      <c r="V92" s="6">
        <f t="shared" si="37"/>
        <v>1.3</v>
      </c>
      <c r="W92" s="6">
        <f t="shared" si="30"/>
        <v>1.4</v>
      </c>
      <c r="X92" s="6">
        <f t="shared" si="31"/>
        <v>2</v>
      </c>
      <c r="Y92" s="6">
        <f t="shared" si="32"/>
        <v>4.5880000000000001</v>
      </c>
      <c r="Z92" s="6">
        <f t="shared" si="33"/>
        <v>1.25</v>
      </c>
      <c r="AA92" s="6">
        <f t="shared" si="34"/>
        <v>11.47</v>
      </c>
      <c r="AB92" s="6">
        <f t="shared" si="35"/>
        <v>11.47</v>
      </c>
      <c r="AC92" s="7" t="str">
        <f t="shared" si="36"/>
        <v>Severe exposure</v>
      </c>
    </row>
    <row r="93" spans="1:29" x14ac:dyDescent="0.35">
      <c r="A93" s="2" t="s">
        <v>50</v>
      </c>
      <c r="B93" s="11">
        <v>1</v>
      </c>
      <c r="C93" s="11">
        <v>99214</v>
      </c>
      <c r="D93" s="11" t="str">
        <f>_xlfn.XLOOKUP(C93,'Dealer Operations'!B:B,'Dealer Operations'!C:C,"Not Found")</f>
        <v>Temecula Hyundai</v>
      </c>
      <c r="E93" s="11" t="str">
        <f>_xlfn.XLOOKUP(C94,'Dealer Operations'!B:B,'Dealer Operations'!D:D,"Not Found")</f>
        <v>Fred Mercury</v>
      </c>
      <c r="F93" s="26">
        <f>_xlfn.XLOOKUP(A93,'Dealer Operations'!A:A,'Dealer Operations'!E:E,"Not Found")</f>
        <v>46107</v>
      </c>
      <c r="G93" s="3">
        <v>48</v>
      </c>
      <c r="H93" s="3">
        <v>5</v>
      </c>
      <c r="I93" s="2" t="s">
        <v>38</v>
      </c>
      <c r="J93" s="3">
        <f>_xlfn.XLOOKUP(C93,'Dealer Operations'!B:B,'Dealer Operations'!I:I,"Not Found")</f>
        <v>68</v>
      </c>
      <c r="K93" s="4">
        <f>_xlfn.XLOOKUP(C93,'Dealer Operations'!B:B,'Dealer Operations'!J:J,"Not Found")</f>
        <v>8.4</v>
      </c>
      <c r="L93" s="4">
        <f>_xlfn.XLOOKUP(C93,'Dealer Operations'!B:B,'Dealer Operations'!K:K,"Not Found")</f>
        <v>88</v>
      </c>
      <c r="M93" s="3">
        <v>4</v>
      </c>
      <c r="N93" s="3">
        <v>5</v>
      </c>
      <c r="O93" s="3">
        <v>6</v>
      </c>
      <c r="P93" s="3">
        <v>1</v>
      </c>
      <c r="Q93" s="6">
        <f t="shared" si="25"/>
        <v>0.85</v>
      </c>
      <c r="R93" s="6">
        <f t="shared" si="26"/>
        <v>1.45</v>
      </c>
      <c r="S93" s="6">
        <f t="shared" si="27"/>
        <v>4</v>
      </c>
      <c r="T93" s="6">
        <f t="shared" si="28"/>
        <v>2.5</v>
      </c>
      <c r="U93" s="6">
        <f t="shared" si="29"/>
        <v>1.25</v>
      </c>
      <c r="V93" s="6">
        <f t="shared" si="37"/>
        <v>1.1000000000000001</v>
      </c>
      <c r="W93" s="6">
        <f t="shared" si="30"/>
        <v>1.1000000000000001</v>
      </c>
      <c r="X93" s="6">
        <f t="shared" si="31"/>
        <v>2</v>
      </c>
      <c r="Y93" s="6">
        <f t="shared" si="32"/>
        <v>4.2160000000000002</v>
      </c>
      <c r="Z93" s="6">
        <f t="shared" si="33"/>
        <v>1.1525000000000001</v>
      </c>
      <c r="AA93" s="6">
        <f t="shared" si="34"/>
        <v>9.717880000000001</v>
      </c>
      <c r="AB93" s="6">
        <f t="shared" si="35"/>
        <v>9.717880000000001</v>
      </c>
      <c r="AC93" s="7" t="str">
        <f t="shared" si="36"/>
        <v>High escalation risk</v>
      </c>
    </row>
    <row r="94" spans="1:29" x14ac:dyDescent="0.35">
      <c r="A94" s="2" t="s">
        <v>123</v>
      </c>
      <c r="B94" s="11">
        <v>0</v>
      </c>
      <c r="C94" s="11">
        <v>77841</v>
      </c>
      <c r="D94" s="11" t="str">
        <f>_xlfn.XLOOKUP(C94,'Dealer Operations'!B:B,'Dealer Operations'!C:C,"Not Found")</f>
        <v>Victorville Hyundai</v>
      </c>
      <c r="E94" s="11" t="str">
        <f>_xlfn.XLOOKUP(C95,'Dealer Operations'!B:B,'Dealer Operations'!D:D,"Not Found")</f>
        <v>Fred Mercury</v>
      </c>
      <c r="F94" s="26">
        <f>_xlfn.XLOOKUP(A94,'Dealer Operations'!A:A,'Dealer Operations'!E:E,"Not Found")</f>
        <v>46115</v>
      </c>
      <c r="G94" s="3">
        <v>40</v>
      </c>
      <c r="H94" s="3">
        <v>5</v>
      </c>
      <c r="I94" s="2" t="s">
        <v>29</v>
      </c>
      <c r="J94" s="3">
        <f>_xlfn.XLOOKUP(C94,'Dealer Operations'!B:B,'Dealer Operations'!I:I,"Not Found")</f>
        <v>86</v>
      </c>
      <c r="K94" s="4">
        <f>_xlfn.XLOOKUP(C94,'Dealer Operations'!B:B,'Dealer Operations'!J:J,"Not Found")</f>
        <v>8</v>
      </c>
      <c r="L94" s="4">
        <f>_xlfn.XLOOKUP(C94,'Dealer Operations'!B:B,'Dealer Operations'!K:K,"Not Found")</f>
        <v>80</v>
      </c>
      <c r="M94" s="3">
        <v>6</v>
      </c>
      <c r="N94" s="3">
        <v>3</v>
      </c>
      <c r="O94" s="3">
        <v>5</v>
      </c>
      <c r="P94" s="3">
        <v>1</v>
      </c>
      <c r="Q94" s="6">
        <f t="shared" si="25"/>
        <v>1.6</v>
      </c>
      <c r="R94" s="6">
        <f t="shared" si="26"/>
        <v>1.45</v>
      </c>
      <c r="S94" s="6">
        <f t="shared" si="27"/>
        <v>3.25</v>
      </c>
      <c r="T94" s="6">
        <f t="shared" si="28"/>
        <v>3.25</v>
      </c>
      <c r="U94" s="6">
        <f t="shared" si="29"/>
        <v>1</v>
      </c>
      <c r="V94" s="6">
        <f t="shared" si="37"/>
        <v>1.1000000000000001</v>
      </c>
      <c r="W94" s="6">
        <f t="shared" si="30"/>
        <v>1.2</v>
      </c>
      <c r="X94" s="6">
        <f t="shared" si="31"/>
        <v>2</v>
      </c>
      <c r="Y94" s="6">
        <f t="shared" si="32"/>
        <v>4.8831249999999997</v>
      </c>
      <c r="Z94" s="6">
        <f t="shared" si="33"/>
        <v>1.085</v>
      </c>
      <c r="AA94" s="6">
        <f t="shared" si="34"/>
        <v>10.596381249999999</v>
      </c>
      <c r="AB94" s="6">
        <f t="shared" si="35"/>
        <v>10.596381249999999</v>
      </c>
      <c r="AC94" s="7" t="str">
        <f t="shared" si="36"/>
        <v>Severe exposure</v>
      </c>
    </row>
    <row r="95" spans="1:29" x14ac:dyDescent="0.35">
      <c r="A95" s="2" t="s">
        <v>124</v>
      </c>
      <c r="B95" s="11">
        <v>0</v>
      </c>
      <c r="C95" s="11">
        <v>44117</v>
      </c>
      <c r="D95" s="11" t="str">
        <f>_xlfn.XLOOKUP(C95,'Dealer Operations'!B:B,'Dealer Operations'!C:C,"Not Found")</f>
        <v>Desert Hyundai</v>
      </c>
      <c r="E95" s="11" t="str">
        <f>_xlfn.XLOOKUP(C96,'Dealer Operations'!B:B,'Dealer Operations'!D:D,"Not Found")</f>
        <v>Fred Mercury</v>
      </c>
      <c r="F95" s="26">
        <f>_xlfn.XLOOKUP(A95,'Dealer Operations'!A:A,'Dealer Operations'!E:E,"Not Found")</f>
        <v>46117</v>
      </c>
      <c r="G95" s="3">
        <v>38</v>
      </c>
      <c r="H95" s="3">
        <v>0</v>
      </c>
      <c r="I95" s="2" t="s">
        <v>29</v>
      </c>
      <c r="J95" s="3">
        <f>_xlfn.XLOOKUP(C95,'Dealer Operations'!B:B,'Dealer Operations'!I:I,"Not Found")</f>
        <v>58</v>
      </c>
      <c r="K95" s="4">
        <f>_xlfn.XLOOKUP(C95,'Dealer Operations'!B:B,'Dealer Operations'!J:J,"Not Found")</f>
        <v>10.5</v>
      </c>
      <c r="L95" s="4">
        <f>_xlfn.XLOOKUP(C95,'Dealer Operations'!B:B,'Dealer Operations'!K:K,"Not Found")</f>
        <v>49</v>
      </c>
      <c r="M95" s="3">
        <v>5</v>
      </c>
      <c r="N95" s="3">
        <v>6</v>
      </c>
      <c r="O95" s="3">
        <v>5</v>
      </c>
      <c r="P95" s="3">
        <v>1</v>
      </c>
      <c r="Q95" s="6">
        <f t="shared" si="25"/>
        <v>1.6</v>
      </c>
      <c r="R95" s="6">
        <f t="shared" si="26"/>
        <v>1</v>
      </c>
      <c r="S95" s="6">
        <f t="shared" si="27"/>
        <v>4</v>
      </c>
      <c r="T95" s="6">
        <f t="shared" si="28"/>
        <v>2.5</v>
      </c>
      <c r="U95" s="6">
        <f t="shared" si="29"/>
        <v>1.35</v>
      </c>
      <c r="V95" s="6">
        <f t="shared" si="37"/>
        <v>1.3</v>
      </c>
      <c r="W95" s="6">
        <f t="shared" si="30"/>
        <v>1.4</v>
      </c>
      <c r="X95" s="6">
        <f t="shared" si="31"/>
        <v>2</v>
      </c>
      <c r="Y95" s="6">
        <f t="shared" si="32"/>
        <v>4.1139999999999999</v>
      </c>
      <c r="Z95" s="6">
        <f t="shared" si="33"/>
        <v>1.3375000000000001</v>
      </c>
      <c r="AA95" s="6">
        <f t="shared" si="34"/>
        <v>11.004950000000001</v>
      </c>
      <c r="AB95" s="6">
        <f t="shared" si="35"/>
        <v>11.004950000000001</v>
      </c>
      <c r="AC95" s="7" t="str">
        <f t="shared" si="36"/>
        <v>Severe exposure</v>
      </c>
    </row>
    <row r="96" spans="1:29" x14ac:dyDescent="0.35">
      <c r="A96" s="2" t="s">
        <v>125</v>
      </c>
      <c r="B96" s="11">
        <v>0</v>
      </c>
      <c r="C96" s="11">
        <v>11425</v>
      </c>
      <c r="D96" s="11" t="str">
        <f>_xlfn.XLOOKUP(C96,'Dealer Operations'!B:B,'Dealer Operations'!C:C,"Not Found")</f>
        <v>Keyes Hyundai</v>
      </c>
      <c r="E96" s="11" t="str">
        <f>_xlfn.XLOOKUP(C97,'Dealer Operations'!B:B,'Dealer Operations'!D:D,"Not Found")</f>
        <v>Shohei Ohtani</v>
      </c>
      <c r="F96" s="26">
        <f>_xlfn.XLOOKUP(A96,'Dealer Operations'!A:A,'Dealer Operations'!E:E,"Not Found")</f>
        <v>46125</v>
      </c>
      <c r="G96" s="3">
        <v>30</v>
      </c>
      <c r="H96" s="3">
        <v>3</v>
      </c>
      <c r="I96" s="2" t="s">
        <v>31</v>
      </c>
      <c r="J96" s="3">
        <f>_xlfn.XLOOKUP(C96,'Dealer Operations'!B:B,'Dealer Operations'!I:I,"Not Found")</f>
        <v>86</v>
      </c>
      <c r="K96" s="4">
        <f>_xlfn.XLOOKUP(C96,'Dealer Operations'!B:B,'Dealer Operations'!J:J,"Not Found")</f>
        <v>6.8</v>
      </c>
      <c r="L96" s="4">
        <f>_xlfn.XLOOKUP(C96,'Dealer Operations'!B:B,'Dealer Operations'!K:K,"Not Found")</f>
        <v>89</v>
      </c>
      <c r="M96" s="3">
        <v>6</v>
      </c>
      <c r="N96" s="3">
        <v>5</v>
      </c>
      <c r="O96" s="3">
        <v>1</v>
      </c>
      <c r="P96" s="3">
        <v>0</v>
      </c>
      <c r="Q96" s="6">
        <f t="shared" si="25"/>
        <v>1.3</v>
      </c>
      <c r="R96" s="6">
        <f t="shared" si="26"/>
        <v>1.3</v>
      </c>
      <c r="S96" s="6">
        <f t="shared" si="27"/>
        <v>4</v>
      </c>
      <c r="T96" s="6">
        <f t="shared" si="28"/>
        <v>3.25</v>
      </c>
      <c r="U96" s="6">
        <f t="shared" si="29"/>
        <v>1</v>
      </c>
      <c r="V96" s="6">
        <f t="shared" si="37"/>
        <v>1.1000000000000001</v>
      </c>
      <c r="W96" s="6">
        <f t="shared" si="30"/>
        <v>1.1000000000000001</v>
      </c>
      <c r="X96" s="6">
        <f t="shared" si="31"/>
        <v>2</v>
      </c>
      <c r="Y96" s="6">
        <f t="shared" si="32"/>
        <v>4.8100000000000005</v>
      </c>
      <c r="Z96" s="6">
        <f t="shared" si="33"/>
        <v>1.0649999999999999</v>
      </c>
      <c r="AA96" s="6">
        <f t="shared" si="34"/>
        <v>10.2453</v>
      </c>
      <c r="AB96" s="6">
        <f t="shared" si="35"/>
        <v>10.2453</v>
      </c>
      <c r="AC96" s="7" t="str">
        <f t="shared" si="36"/>
        <v>Severe exposure</v>
      </c>
    </row>
    <row r="97" spans="1:29" x14ac:dyDescent="0.35">
      <c r="A97" s="2" t="s">
        <v>126</v>
      </c>
      <c r="B97" s="11">
        <v>0</v>
      </c>
      <c r="C97" s="11">
        <v>81773</v>
      </c>
      <c r="D97" s="11" t="str">
        <f>_xlfn.XLOOKUP(C97,'Dealer Operations'!B:B,'Dealer Operations'!C:C,"Not Found")</f>
        <v>Hyundai San Diego</v>
      </c>
      <c r="E97" s="11" t="str">
        <f>_xlfn.XLOOKUP(C98,'Dealer Operations'!B:B,'Dealer Operations'!D:D,"Not Found")</f>
        <v>Fred Mercury</v>
      </c>
      <c r="F97" s="26">
        <f>_xlfn.XLOOKUP(A97,'Dealer Operations'!A:A,'Dealer Operations'!E:E,"Not Found")</f>
        <v>46123</v>
      </c>
      <c r="G97" s="3">
        <v>32</v>
      </c>
      <c r="H97" s="3">
        <v>5</v>
      </c>
      <c r="I97" s="2" t="s">
        <v>29</v>
      </c>
      <c r="J97" s="3">
        <f>_xlfn.XLOOKUP(C97,'Dealer Operations'!B:B,'Dealer Operations'!I:I,"Not Found")</f>
        <v>68</v>
      </c>
      <c r="K97" s="4">
        <f>_xlfn.XLOOKUP(C97,'Dealer Operations'!B:B,'Dealer Operations'!J:J,"Not Found")</f>
        <v>9.3000000000000007</v>
      </c>
      <c r="L97" s="4">
        <f>_xlfn.XLOOKUP(C97,'Dealer Operations'!B:B,'Dealer Operations'!K:K,"Not Found")</f>
        <v>55</v>
      </c>
      <c r="M97" s="3">
        <v>1</v>
      </c>
      <c r="N97" s="3">
        <v>4</v>
      </c>
      <c r="O97" s="3">
        <v>8</v>
      </c>
      <c r="P97" s="3">
        <v>1</v>
      </c>
      <c r="Q97" s="6">
        <f t="shared" si="25"/>
        <v>1.6</v>
      </c>
      <c r="R97" s="6">
        <f t="shared" si="26"/>
        <v>1.45</v>
      </c>
      <c r="S97" s="6">
        <f t="shared" si="27"/>
        <v>4</v>
      </c>
      <c r="T97" s="6">
        <f t="shared" si="28"/>
        <v>1</v>
      </c>
      <c r="U97" s="6">
        <f t="shared" si="29"/>
        <v>1.25</v>
      </c>
      <c r="V97" s="6">
        <f t="shared" si="37"/>
        <v>1.1000000000000001</v>
      </c>
      <c r="W97" s="6">
        <f t="shared" si="30"/>
        <v>1.4</v>
      </c>
      <c r="X97" s="6">
        <f t="shared" si="31"/>
        <v>2</v>
      </c>
      <c r="Y97" s="6">
        <f t="shared" si="32"/>
        <v>4.2069999999999999</v>
      </c>
      <c r="Z97" s="6">
        <f t="shared" si="33"/>
        <v>1.2125000000000001</v>
      </c>
      <c r="AA97" s="6">
        <f t="shared" si="34"/>
        <v>10.201975000000001</v>
      </c>
      <c r="AB97" s="6">
        <f t="shared" si="35"/>
        <v>10.201975000000001</v>
      </c>
      <c r="AC97" s="7" t="str">
        <f t="shared" si="36"/>
        <v>Severe exposure</v>
      </c>
    </row>
    <row r="98" spans="1:29" x14ac:dyDescent="0.35">
      <c r="A98" s="2" t="s">
        <v>127</v>
      </c>
      <c r="B98" s="11">
        <v>0</v>
      </c>
      <c r="C98" s="11">
        <v>99214</v>
      </c>
      <c r="D98" s="11" t="str">
        <f>_xlfn.XLOOKUP(C98,'Dealer Operations'!B:B,'Dealer Operations'!C:C,"Not Found")</f>
        <v>Temecula Hyundai</v>
      </c>
      <c r="E98" s="11" t="str">
        <f>_xlfn.XLOOKUP(C99,'Dealer Operations'!B:B,'Dealer Operations'!D:D,"Not Found")</f>
        <v>Shohei Ohtani</v>
      </c>
      <c r="F98" s="26">
        <f>_xlfn.XLOOKUP(A98,'Dealer Operations'!A:A,'Dealer Operations'!E:E,"Not Found")</f>
        <v>46108</v>
      </c>
      <c r="G98" s="3">
        <v>47</v>
      </c>
      <c r="H98" s="3">
        <v>3</v>
      </c>
      <c r="I98" s="2" t="s">
        <v>29</v>
      </c>
      <c r="J98" s="3">
        <f>_xlfn.XLOOKUP(C98,'Dealer Operations'!B:B,'Dealer Operations'!I:I,"Not Found")</f>
        <v>68</v>
      </c>
      <c r="K98" s="4">
        <f>_xlfn.XLOOKUP(C98,'Dealer Operations'!B:B,'Dealer Operations'!J:J,"Not Found")</f>
        <v>8.4</v>
      </c>
      <c r="L98" s="4">
        <f>_xlfn.XLOOKUP(C98,'Dealer Operations'!B:B,'Dealer Operations'!K:K,"Not Found")</f>
        <v>88</v>
      </c>
      <c r="M98" s="3">
        <v>0</v>
      </c>
      <c r="N98" s="3">
        <v>6</v>
      </c>
      <c r="O98" s="3">
        <v>9</v>
      </c>
      <c r="P98" s="3">
        <v>3</v>
      </c>
      <c r="Q98" s="6">
        <f t="shared" si="25"/>
        <v>1.6</v>
      </c>
      <c r="R98" s="6">
        <f t="shared" si="26"/>
        <v>1.3</v>
      </c>
      <c r="S98" s="6">
        <f t="shared" si="27"/>
        <v>4</v>
      </c>
      <c r="T98" s="6">
        <f t="shared" si="28"/>
        <v>1</v>
      </c>
      <c r="U98" s="6">
        <f t="shared" si="29"/>
        <v>1.25</v>
      </c>
      <c r="V98" s="6">
        <f t="shared" si="37"/>
        <v>1.1000000000000001</v>
      </c>
      <c r="W98" s="6">
        <f t="shared" si="30"/>
        <v>1.1000000000000001</v>
      </c>
      <c r="X98" s="6">
        <f t="shared" si="31"/>
        <v>2</v>
      </c>
      <c r="Y98" s="6">
        <f t="shared" si="32"/>
        <v>3.9339999999999997</v>
      </c>
      <c r="Z98" s="6">
        <f t="shared" si="33"/>
        <v>1.1525000000000001</v>
      </c>
      <c r="AA98" s="6">
        <f t="shared" ref="AA98:AA101" si="38">Y98*Z98*X98</f>
        <v>9.0678699999999992</v>
      </c>
      <c r="AB98" s="6">
        <f t="shared" ref="AB98:AB101" si="39">MIN(AA98,15)</f>
        <v>9.0678699999999992</v>
      </c>
      <c r="AC98" s="7" t="str">
        <f t="shared" ref="AC98:AC101" si="40">IF(AB98&lt;3,"Low operational exposure",IF(AB98&lt;6,"Moderate friction",IF(AB98&lt;10,"High escalation risk",IF(AB98&lt;12,"Severe exposure","Critical / Executive intervention"))))</f>
        <v>High escalation risk</v>
      </c>
    </row>
    <row r="99" spans="1:29" x14ac:dyDescent="0.35">
      <c r="A99" s="2" t="s">
        <v>128</v>
      </c>
      <c r="B99" s="11">
        <v>0</v>
      </c>
      <c r="C99" s="11">
        <v>39018</v>
      </c>
      <c r="D99" s="11" t="str">
        <f>_xlfn.XLOOKUP(C99,'Dealer Operations'!B:B,'Dealer Operations'!C:C,"Not Found")</f>
        <v>Huntington Beach Hyundai</v>
      </c>
      <c r="E99" s="11" t="str">
        <f>_xlfn.XLOOKUP(C100,'Dealer Operations'!B:B,'Dealer Operations'!D:D,"Not Found")</f>
        <v>Fred Mercury</v>
      </c>
      <c r="F99" s="26">
        <f>_xlfn.XLOOKUP(A99,'Dealer Operations'!A:A,'Dealer Operations'!E:E,"Not Found")</f>
        <v>46119</v>
      </c>
      <c r="G99" s="3">
        <v>36</v>
      </c>
      <c r="H99" s="3">
        <v>4</v>
      </c>
      <c r="I99" s="2" t="s">
        <v>38</v>
      </c>
      <c r="J99" s="3">
        <f>_xlfn.XLOOKUP(C99,'Dealer Operations'!B:B,'Dealer Operations'!I:I,"Not Found")</f>
        <v>73</v>
      </c>
      <c r="K99" s="4">
        <f>_xlfn.XLOOKUP(C99,'Dealer Operations'!B:B,'Dealer Operations'!J:J,"Not Found")</f>
        <v>9.9</v>
      </c>
      <c r="L99" s="4">
        <f>_xlfn.XLOOKUP(C99,'Dealer Operations'!B:B,'Dealer Operations'!K:K,"Not Found")</f>
        <v>79</v>
      </c>
      <c r="M99" s="3">
        <v>7</v>
      </c>
      <c r="N99" s="3">
        <v>3</v>
      </c>
      <c r="O99" s="3">
        <v>4</v>
      </c>
      <c r="P99" s="3">
        <v>2</v>
      </c>
      <c r="Q99" s="6">
        <f t="shared" si="25"/>
        <v>0.85</v>
      </c>
      <c r="R99" s="6">
        <f t="shared" si="26"/>
        <v>1.45</v>
      </c>
      <c r="S99" s="6">
        <f t="shared" si="27"/>
        <v>3.25</v>
      </c>
      <c r="T99" s="6">
        <f t="shared" si="28"/>
        <v>3.25</v>
      </c>
      <c r="U99" s="6">
        <f t="shared" si="29"/>
        <v>1.25</v>
      </c>
      <c r="V99" s="6">
        <f t="shared" si="37"/>
        <v>1.1000000000000001</v>
      </c>
      <c r="W99" s="6">
        <f t="shared" si="30"/>
        <v>1.2</v>
      </c>
      <c r="X99" s="6">
        <f t="shared" si="31"/>
        <v>2</v>
      </c>
      <c r="Y99" s="6">
        <f t="shared" si="32"/>
        <v>4.03</v>
      </c>
      <c r="Z99" s="6">
        <f t="shared" si="33"/>
        <v>1.1725000000000001</v>
      </c>
      <c r="AA99" s="6">
        <f t="shared" si="38"/>
        <v>9.450350000000002</v>
      </c>
      <c r="AB99" s="6">
        <f t="shared" si="39"/>
        <v>9.450350000000002</v>
      </c>
      <c r="AC99" s="7" t="str">
        <f t="shared" si="40"/>
        <v>High escalation risk</v>
      </c>
    </row>
    <row r="100" spans="1:29" x14ac:dyDescent="0.35">
      <c r="A100" s="2" t="s">
        <v>129</v>
      </c>
      <c r="B100" s="11">
        <v>0</v>
      </c>
      <c r="C100" s="11">
        <v>77841</v>
      </c>
      <c r="D100" s="11" t="str">
        <f>_xlfn.XLOOKUP(C100,'Dealer Operations'!B:B,'Dealer Operations'!C:C,"Not Found")</f>
        <v>Victorville Hyundai</v>
      </c>
      <c r="E100" s="11" t="str">
        <f>_xlfn.XLOOKUP(C101,'Dealer Operations'!B:B,'Dealer Operations'!D:D,"Not Found")</f>
        <v>Shohei Ohtani</v>
      </c>
      <c r="F100" s="26">
        <f>_xlfn.XLOOKUP(A100,'Dealer Operations'!A:A,'Dealer Operations'!E:E,"Not Found")</f>
        <v>46112</v>
      </c>
      <c r="G100" s="3">
        <v>43</v>
      </c>
      <c r="H100" s="3">
        <v>4</v>
      </c>
      <c r="I100" s="2" t="s">
        <v>38</v>
      </c>
      <c r="J100" s="3">
        <f>_xlfn.XLOOKUP(C100,'Dealer Operations'!B:B,'Dealer Operations'!I:I,"Not Found")</f>
        <v>86</v>
      </c>
      <c r="K100" s="4">
        <f>_xlfn.XLOOKUP(C100,'Dealer Operations'!B:B,'Dealer Operations'!J:J,"Not Found")</f>
        <v>8</v>
      </c>
      <c r="L100" s="4">
        <f>_xlfn.XLOOKUP(C100,'Dealer Operations'!B:B,'Dealer Operations'!K:K,"Not Found")</f>
        <v>80</v>
      </c>
      <c r="M100" s="3">
        <v>4</v>
      </c>
      <c r="N100" s="3">
        <v>6</v>
      </c>
      <c r="O100" s="3">
        <v>2</v>
      </c>
      <c r="P100" s="3">
        <v>3</v>
      </c>
      <c r="Q100" s="6">
        <f t="shared" si="25"/>
        <v>0.85</v>
      </c>
      <c r="R100" s="6">
        <f t="shared" si="26"/>
        <v>1.45</v>
      </c>
      <c r="S100" s="6">
        <f t="shared" si="27"/>
        <v>4</v>
      </c>
      <c r="T100" s="6">
        <f t="shared" si="28"/>
        <v>2.5</v>
      </c>
      <c r="U100" s="6">
        <f t="shared" si="29"/>
        <v>1</v>
      </c>
      <c r="V100" s="6">
        <f t="shared" si="37"/>
        <v>1.1000000000000001</v>
      </c>
      <c r="W100" s="6">
        <f t="shared" si="30"/>
        <v>1.2</v>
      </c>
      <c r="X100" s="6">
        <f t="shared" si="31"/>
        <v>2</v>
      </c>
      <c r="Y100" s="6">
        <f t="shared" si="32"/>
        <v>4.2160000000000002</v>
      </c>
      <c r="Z100" s="6">
        <f t="shared" si="33"/>
        <v>1.085</v>
      </c>
      <c r="AA100" s="6">
        <f t="shared" si="38"/>
        <v>9.1487200000000009</v>
      </c>
      <c r="AB100" s="6">
        <f t="shared" si="39"/>
        <v>9.1487200000000009</v>
      </c>
      <c r="AC100" s="7" t="str">
        <f t="shared" si="40"/>
        <v>High escalation risk</v>
      </c>
    </row>
    <row r="101" spans="1:29" x14ac:dyDescent="0.35">
      <c r="A101" s="2" t="s">
        <v>130</v>
      </c>
      <c r="B101" s="11">
        <v>0</v>
      </c>
      <c r="C101" s="11">
        <v>81773</v>
      </c>
      <c r="D101" s="11" t="str">
        <f>_xlfn.XLOOKUP(C101,'Dealer Operations'!B:B,'Dealer Operations'!C:C,"Not Found")</f>
        <v>Hyundai San Diego</v>
      </c>
      <c r="E101" s="11">
        <f>_xlfn.XLOOKUP(C102,'Dealer Operations'!B:B,'Dealer Operations'!D:D,"Not Found")</f>
        <v>0</v>
      </c>
      <c r="F101" s="26">
        <f>_xlfn.XLOOKUP(A101,'Dealer Operations'!A:A,'Dealer Operations'!E:E,"Not Found")</f>
        <v>46106</v>
      </c>
      <c r="G101" s="3">
        <v>49</v>
      </c>
      <c r="H101" s="3">
        <v>3</v>
      </c>
      <c r="I101" s="2" t="s">
        <v>38</v>
      </c>
      <c r="J101" s="3">
        <f>_xlfn.XLOOKUP(C101,'Dealer Operations'!B:B,'Dealer Operations'!I:I,"Not Found")</f>
        <v>68</v>
      </c>
      <c r="K101" s="4">
        <f>_xlfn.XLOOKUP(C101,'Dealer Operations'!B:B,'Dealer Operations'!J:J,"Not Found")</f>
        <v>9.3000000000000007</v>
      </c>
      <c r="L101" s="4">
        <f>_xlfn.XLOOKUP(C101,'Dealer Operations'!B:B,'Dealer Operations'!K:K,"Not Found")</f>
        <v>55</v>
      </c>
      <c r="M101" s="3">
        <v>7</v>
      </c>
      <c r="N101" s="3">
        <v>3</v>
      </c>
      <c r="O101" s="3">
        <v>10</v>
      </c>
      <c r="P101" s="3">
        <v>0</v>
      </c>
      <c r="Q101" s="6">
        <f t="shared" si="25"/>
        <v>0.85</v>
      </c>
      <c r="R101" s="6">
        <f t="shared" si="26"/>
        <v>1.3</v>
      </c>
      <c r="S101" s="6">
        <f t="shared" si="27"/>
        <v>3.25</v>
      </c>
      <c r="T101" s="6">
        <f t="shared" si="28"/>
        <v>3.25</v>
      </c>
      <c r="U101" s="6">
        <f t="shared" si="29"/>
        <v>1.25</v>
      </c>
      <c r="V101" s="6">
        <f t="shared" si="37"/>
        <v>1.1000000000000001</v>
      </c>
      <c r="W101" s="6">
        <f t="shared" si="30"/>
        <v>1.4</v>
      </c>
      <c r="X101" s="6">
        <f t="shared" si="31"/>
        <v>2</v>
      </c>
      <c r="Y101" s="6">
        <f t="shared" si="32"/>
        <v>3.7131250000000002</v>
      </c>
      <c r="Z101" s="6">
        <f t="shared" si="33"/>
        <v>1.2125000000000001</v>
      </c>
      <c r="AA101" s="6">
        <f t="shared" si="38"/>
        <v>9.0043281250000007</v>
      </c>
      <c r="AB101" s="6">
        <f t="shared" si="39"/>
        <v>9.0043281250000007</v>
      </c>
      <c r="AC101" s="7" t="str">
        <f t="shared" si="40"/>
        <v>High escalation risk</v>
      </c>
    </row>
  </sheetData>
  <conditionalFormatting sqref="AB2:AB101">
    <cfRule type="cellIs" dxfId="2" priority="1" operator="greaterThanOrEqual">
      <formula>12</formula>
    </cfRule>
    <cfRule type="cellIs" dxfId="1" priority="2" operator="between">
      <formula>9</formula>
      <formula>11.999</formula>
    </cfRule>
    <cfRule type="cellIs" dxfId="0" priority="3" operator="between">
      <formula>6</formula>
      <formula>8.999</formula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1"/>
  <sheetViews>
    <sheetView showGridLines="0" workbookViewId="0">
      <pane ySplit="1" topLeftCell="A2" activePane="bottomLeft" state="frozen"/>
      <selection pane="bottomLeft" activeCell="G21" sqref="G21"/>
    </sheetView>
  </sheetViews>
  <sheetFormatPr defaultRowHeight="14.5" x14ac:dyDescent="0.35"/>
  <cols>
    <col min="1" max="1" width="20" customWidth="1"/>
    <col min="2" max="2" width="16" style="16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35</v>
      </c>
      <c r="B2" s="14">
        <v>1</v>
      </c>
    </row>
    <row r="3" spans="1:2" x14ac:dyDescent="0.35">
      <c r="A3" s="2" t="s">
        <v>50</v>
      </c>
      <c r="B3" s="14">
        <v>1</v>
      </c>
    </row>
    <row r="4" spans="1:2" x14ac:dyDescent="0.35">
      <c r="A4" s="2" t="s">
        <v>39</v>
      </c>
      <c r="B4" s="14">
        <v>1</v>
      </c>
    </row>
    <row r="5" spans="1:2" x14ac:dyDescent="0.35">
      <c r="A5" s="2" t="s">
        <v>49</v>
      </c>
      <c r="B5" s="14">
        <v>1</v>
      </c>
    </row>
    <row r="6" spans="1:2" x14ac:dyDescent="0.35">
      <c r="A6" s="2" t="s">
        <v>36</v>
      </c>
      <c r="B6" s="14">
        <v>1</v>
      </c>
    </row>
    <row r="7" spans="1:2" x14ac:dyDescent="0.35">
      <c r="A7" s="2" t="s">
        <v>33</v>
      </c>
      <c r="B7" s="14">
        <v>1</v>
      </c>
    </row>
    <row r="8" spans="1:2" x14ac:dyDescent="0.35">
      <c r="A8" s="2" t="s">
        <v>40</v>
      </c>
      <c r="B8" s="14">
        <v>1</v>
      </c>
    </row>
    <row r="9" spans="1:2" x14ac:dyDescent="0.35">
      <c r="A9" s="2" t="s">
        <v>32</v>
      </c>
      <c r="B9" s="14">
        <v>1</v>
      </c>
    </row>
    <row r="10" spans="1:2" x14ac:dyDescent="0.35">
      <c r="A10" s="2" t="s">
        <v>34</v>
      </c>
      <c r="B10" s="14">
        <v>1</v>
      </c>
    </row>
    <row r="11" spans="1:2" x14ac:dyDescent="0.35">
      <c r="A11" s="2" t="s">
        <v>42</v>
      </c>
      <c r="B11" s="14">
        <v>1</v>
      </c>
    </row>
    <row r="12" spans="1:2" x14ac:dyDescent="0.35">
      <c r="A12" s="2" t="s">
        <v>37</v>
      </c>
      <c r="B12" s="14">
        <v>1</v>
      </c>
    </row>
    <row r="13" spans="1:2" x14ac:dyDescent="0.35">
      <c r="A13" s="2" t="s">
        <v>41</v>
      </c>
      <c r="B13" s="14">
        <v>1</v>
      </c>
    </row>
    <row r="14" spans="1:2" x14ac:dyDescent="0.35">
      <c r="A14" s="2" t="s">
        <v>46</v>
      </c>
      <c r="B14" s="14">
        <v>1</v>
      </c>
    </row>
    <row r="15" spans="1:2" x14ac:dyDescent="0.35">
      <c r="A15" s="2" t="s">
        <v>47</v>
      </c>
      <c r="B15" s="14">
        <v>1</v>
      </c>
    </row>
    <row r="16" spans="1:2" x14ac:dyDescent="0.35">
      <c r="A16" s="2" t="s">
        <v>28</v>
      </c>
      <c r="B16" s="14">
        <v>1</v>
      </c>
    </row>
    <row r="17" spans="1:2" x14ac:dyDescent="0.35">
      <c r="A17" s="2" t="s">
        <v>30</v>
      </c>
      <c r="B17" s="14">
        <v>1</v>
      </c>
    </row>
    <row r="18" spans="1:2" x14ac:dyDescent="0.35">
      <c r="A18" s="2" t="s">
        <v>44</v>
      </c>
      <c r="B18" s="14">
        <v>1</v>
      </c>
    </row>
    <row r="19" spans="1:2" x14ac:dyDescent="0.35">
      <c r="A19" s="2" t="s">
        <v>45</v>
      </c>
      <c r="B19" s="14">
        <v>1</v>
      </c>
    </row>
    <row r="20" spans="1:2" x14ac:dyDescent="0.35">
      <c r="A20" s="2" t="s">
        <v>48</v>
      </c>
      <c r="B20" s="14">
        <v>1</v>
      </c>
    </row>
    <row r="21" spans="1:2" x14ac:dyDescent="0.35">
      <c r="A21" s="2" t="s">
        <v>43</v>
      </c>
      <c r="B21" s="14">
        <v>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K103"/>
  <sheetViews>
    <sheetView showGridLines="0" workbookViewId="0">
      <pane ySplit="1" topLeftCell="A2" activePane="bottomLeft" state="frozen"/>
      <selection pane="bottomLeft" activeCell="D77" sqref="D77:D91"/>
    </sheetView>
  </sheetViews>
  <sheetFormatPr defaultRowHeight="14.5" x14ac:dyDescent="0.35"/>
  <cols>
    <col min="1" max="1" width="20" style="16" customWidth="1"/>
    <col min="2" max="2" width="13" style="16" customWidth="1"/>
    <col min="3" max="3" width="23.26953125" style="16" bestFit="1" customWidth="1"/>
    <col min="4" max="4" width="23.26953125" style="16" customWidth="1"/>
    <col min="5" max="5" width="13" style="23" customWidth="1"/>
    <col min="6" max="6" width="12" style="16" customWidth="1"/>
    <col min="7" max="7" width="17" style="16" customWidth="1"/>
    <col min="8" max="8" width="21" style="16" customWidth="1"/>
    <col min="9" max="9" width="13" style="16" customWidth="1"/>
    <col min="10" max="10" width="25" style="16" customWidth="1"/>
    <col min="11" max="11" width="31" style="16" customWidth="1"/>
  </cols>
  <sheetData>
    <row r="1" spans="1:11" x14ac:dyDescent="0.35">
      <c r="A1" s="1" t="s">
        <v>0</v>
      </c>
      <c r="B1" s="17" t="s">
        <v>140</v>
      </c>
      <c r="C1" s="17" t="s">
        <v>3</v>
      </c>
      <c r="D1" s="1" t="s">
        <v>284</v>
      </c>
      <c r="E1" s="2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116</v>
      </c>
      <c r="B2" s="13">
        <v>44117</v>
      </c>
      <c r="C2" s="13" t="s">
        <v>141</v>
      </c>
      <c r="D2" s="13" t="s">
        <v>285</v>
      </c>
      <c r="E2" s="21">
        <f>$B$103-Dealer_Operations_Table[[#This Row],[Days Down]]</f>
        <v>46108</v>
      </c>
      <c r="F2" s="14">
        <v>47</v>
      </c>
      <c r="G2" s="14">
        <v>1</v>
      </c>
      <c r="H2" s="12" t="s">
        <v>29</v>
      </c>
      <c r="I2" s="14">
        <v>58</v>
      </c>
      <c r="J2" s="15">
        <v>10.5</v>
      </c>
      <c r="K2" s="15">
        <v>49</v>
      </c>
    </row>
    <row r="3" spans="1:11" x14ac:dyDescent="0.35">
      <c r="A3" s="2" t="s">
        <v>61</v>
      </c>
      <c r="B3" s="13">
        <v>44117</v>
      </c>
      <c r="C3" s="13" t="s">
        <v>141</v>
      </c>
      <c r="D3" s="13" t="s">
        <v>285</v>
      </c>
      <c r="E3" s="21">
        <f>$B$103-Dealer_Operations_Table[[#This Row],[Days Down]]</f>
        <v>46111</v>
      </c>
      <c r="F3" s="14">
        <v>44</v>
      </c>
      <c r="G3" s="14">
        <v>0</v>
      </c>
      <c r="H3" s="12" t="s">
        <v>38</v>
      </c>
      <c r="I3" s="14">
        <v>58</v>
      </c>
      <c r="J3" s="15">
        <v>10.5</v>
      </c>
      <c r="K3" s="15">
        <v>49</v>
      </c>
    </row>
    <row r="4" spans="1:11" x14ac:dyDescent="0.35">
      <c r="A4" s="2" t="s">
        <v>32</v>
      </c>
      <c r="B4" s="13">
        <v>44117</v>
      </c>
      <c r="C4" s="13" t="s">
        <v>141</v>
      </c>
      <c r="D4" s="13" t="s">
        <v>285</v>
      </c>
      <c r="E4" s="21">
        <f>$B$103-Dealer_Operations_Table[[#This Row],[Days Down]]</f>
        <v>46113</v>
      </c>
      <c r="F4" s="14">
        <v>42</v>
      </c>
      <c r="G4" s="14">
        <v>5</v>
      </c>
      <c r="H4" s="12" t="s">
        <v>29</v>
      </c>
      <c r="I4" s="14">
        <v>58</v>
      </c>
      <c r="J4" s="15">
        <v>10.5</v>
      </c>
      <c r="K4" s="15">
        <v>49</v>
      </c>
    </row>
    <row r="5" spans="1:11" x14ac:dyDescent="0.35">
      <c r="A5" s="2" t="s">
        <v>124</v>
      </c>
      <c r="B5" s="13">
        <v>44117</v>
      </c>
      <c r="C5" s="13" t="s">
        <v>141</v>
      </c>
      <c r="D5" s="13" t="s">
        <v>285</v>
      </c>
      <c r="E5" s="21">
        <f>$B$103-Dealer_Operations_Table[[#This Row],[Days Down]]</f>
        <v>46117</v>
      </c>
      <c r="F5" s="14">
        <v>38</v>
      </c>
      <c r="G5" s="14">
        <v>0</v>
      </c>
      <c r="H5" s="12" t="s">
        <v>29</v>
      </c>
      <c r="I5" s="14">
        <v>58</v>
      </c>
      <c r="J5" s="15">
        <v>10.5</v>
      </c>
      <c r="K5" s="15">
        <v>49</v>
      </c>
    </row>
    <row r="6" spans="1:11" x14ac:dyDescent="0.35">
      <c r="A6" s="2" t="s">
        <v>97</v>
      </c>
      <c r="B6" s="13">
        <v>44117</v>
      </c>
      <c r="C6" s="13" t="s">
        <v>141</v>
      </c>
      <c r="D6" s="13" t="s">
        <v>285</v>
      </c>
      <c r="E6" s="21">
        <f>$B$103-Dealer_Operations_Table[[#This Row],[Days Down]]</f>
        <v>46135</v>
      </c>
      <c r="F6" s="14">
        <v>20</v>
      </c>
      <c r="G6" s="14">
        <v>4</v>
      </c>
      <c r="H6" s="12" t="s">
        <v>29</v>
      </c>
      <c r="I6" s="14">
        <v>58</v>
      </c>
      <c r="J6" s="15">
        <v>10.5</v>
      </c>
      <c r="K6" s="15">
        <v>49</v>
      </c>
    </row>
    <row r="7" spans="1:11" x14ac:dyDescent="0.35">
      <c r="A7" s="2" t="s">
        <v>67</v>
      </c>
      <c r="B7" s="13">
        <v>44117</v>
      </c>
      <c r="C7" s="13" t="s">
        <v>141</v>
      </c>
      <c r="D7" s="13" t="s">
        <v>285</v>
      </c>
      <c r="E7" s="21">
        <f>$B$103-Dealer_Operations_Table[[#This Row],[Days Down]]</f>
        <v>46139</v>
      </c>
      <c r="F7" s="14">
        <v>16</v>
      </c>
      <c r="G7" s="14">
        <v>2</v>
      </c>
      <c r="H7" s="12" t="s">
        <v>38</v>
      </c>
      <c r="I7" s="14">
        <v>58</v>
      </c>
      <c r="J7" s="15">
        <v>10.5</v>
      </c>
      <c r="K7" s="15">
        <v>49</v>
      </c>
    </row>
    <row r="8" spans="1:11" x14ac:dyDescent="0.35">
      <c r="A8" s="2" t="s">
        <v>112</v>
      </c>
      <c r="B8" s="13">
        <v>44117</v>
      </c>
      <c r="C8" s="13" t="s">
        <v>141</v>
      </c>
      <c r="D8" s="13" t="s">
        <v>285</v>
      </c>
      <c r="E8" s="21">
        <f>$B$103-Dealer_Operations_Table[[#This Row],[Days Down]]</f>
        <v>46144</v>
      </c>
      <c r="F8" s="14">
        <v>11</v>
      </c>
      <c r="G8" s="14">
        <v>1</v>
      </c>
      <c r="H8" s="12" t="s">
        <v>31</v>
      </c>
      <c r="I8" s="14">
        <v>58</v>
      </c>
      <c r="J8" s="15">
        <v>10.5</v>
      </c>
      <c r="K8" s="15">
        <v>49</v>
      </c>
    </row>
    <row r="9" spans="1:11" x14ac:dyDescent="0.35">
      <c r="A9" s="2" t="s">
        <v>98</v>
      </c>
      <c r="B9" s="13">
        <v>44117</v>
      </c>
      <c r="C9" s="13" t="s">
        <v>141</v>
      </c>
      <c r="D9" s="13" t="s">
        <v>285</v>
      </c>
      <c r="E9" s="21">
        <f>$B$103-Dealer_Operations_Table[[#This Row],[Days Down]]</f>
        <v>46145</v>
      </c>
      <c r="F9" s="14">
        <v>10</v>
      </c>
      <c r="G9" s="14">
        <v>3</v>
      </c>
      <c r="H9" s="12" t="s">
        <v>38</v>
      </c>
      <c r="I9" s="14">
        <v>58</v>
      </c>
      <c r="J9" s="15">
        <v>10.5</v>
      </c>
      <c r="K9" s="15">
        <v>49</v>
      </c>
    </row>
    <row r="10" spans="1:11" x14ac:dyDescent="0.35">
      <c r="A10" s="2" t="s">
        <v>119</v>
      </c>
      <c r="B10" s="13">
        <v>44117</v>
      </c>
      <c r="C10" s="13" t="s">
        <v>141</v>
      </c>
      <c r="D10" s="13" t="s">
        <v>285</v>
      </c>
      <c r="E10" s="21">
        <f>$B$103-Dealer_Operations_Table[[#This Row],[Days Down]]</f>
        <v>46148</v>
      </c>
      <c r="F10" s="14">
        <v>7</v>
      </c>
      <c r="G10" s="14">
        <v>4</v>
      </c>
      <c r="H10" s="12" t="s">
        <v>29</v>
      </c>
      <c r="I10" s="14">
        <v>58</v>
      </c>
      <c r="J10" s="15">
        <v>10.5</v>
      </c>
      <c r="K10" s="15">
        <v>49</v>
      </c>
    </row>
    <row r="11" spans="1:11" x14ac:dyDescent="0.35">
      <c r="A11" s="2" t="s">
        <v>72</v>
      </c>
      <c r="B11" s="13">
        <v>39018</v>
      </c>
      <c r="C11" s="13" t="s">
        <v>142</v>
      </c>
      <c r="D11" s="13" t="s">
        <v>286</v>
      </c>
      <c r="E11" s="21">
        <f>$B$103-Dealer_Operations_Table[[#This Row],[Days Down]]</f>
        <v>46107</v>
      </c>
      <c r="F11" s="14">
        <v>48</v>
      </c>
      <c r="G11" s="14">
        <v>5</v>
      </c>
      <c r="H11" s="12" t="s">
        <v>38</v>
      </c>
      <c r="I11" s="14">
        <v>73</v>
      </c>
      <c r="J11" s="15">
        <v>9.9</v>
      </c>
      <c r="K11" s="15">
        <v>79</v>
      </c>
    </row>
    <row r="12" spans="1:11" x14ac:dyDescent="0.35">
      <c r="A12" s="2" t="s">
        <v>115</v>
      </c>
      <c r="B12" s="13">
        <v>39018</v>
      </c>
      <c r="C12" s="13" t="s">
        <v>142</v>
      </c>
      <c r="D12" s="13" t="s">
        <v>286</v>
      </c>
      <c r="E12" s="21">
        <f>$B$103-Dealer_Operations_Table[[#This Row],[Days Down]]</f>
        <v>46110</v>
      </c>
      <c r="F12" s="14">
        <v>45</v>
      </c>
      <c r="G12" s="14">
        <v>1</v>
      </c>
      <c r="H12" s="12" t="s">
        <v>38</v>
      </c>
      <c r="I12" s="14">
        <v>73</v>
      </c>
      <c r="J12" s="15">
        <v>9.9</v>
      </c>
      <c r="K12" s="15">
        <v>79</v>
      </c>
    </row>
    <row r="13" spans="1:11" x14ac:dyDescent="0.35">
      <c r="A13" s="2" t="s">
        <v>42</v>
      </c>
      <c r="B13" s="13">
        <v>39018</v>
      </c>
      <c r="C13" s="13" t="s">
        <v>142</v>
      </c>
      <c r="D13" s="13" t="s">
        <v>286</v>
      </c>
      <c r="E13" s="21">
        <f>$B$103-Dealer_Operations_Table[[#This Row],[Days Down]]</f>
        <v>46116</v>
      </c>
      <c r="F13" s="14">
        <v>39</v>
      </c>
      <c r="G13" s="14">
        <v>5</v>
      </c>
      <c r="H13" s="12" t="s">
        <v>31</v>
      </c>
      <c r="I13" s="14">
        <v>73</v>
      </c>
      <c r="J13" s="15">
        <v>9.9</v>
      </c>
      <c r="K13" s="15">
        <v>79</v>
      </c>
    </row>
    <row r="14" spans="1:11" x14ac:dyDescent="0.35">
      <c r="A14" s="2" t="s">
        <v>128</v>
      </c>
      <c r="B14" s="13">
        <v>39018</v>
      </c>
      <c r="C14" s="13" t="s">
        <v>142</v>
      </c>
      <c r="D14" s="13" t="s">
        <v>286</v>
      </c>
      <c r="E14" s="21">
        <f>$B$103-Dealer_Operations_Table[[#This Row],[Days Down]]</f>
        <v>46119</v>
      </c>
      <c r="F14" s="14">
        <v>36</v>
      </c>
      <c r="G14" s="14">
        <v>4</v>
      </c>
      <c r="H14" s="12" t="s">
        <v>38</v>
      </c>
      <c r="I14" s="14">
        <v>73</v>
      </c>
      <c r="J14" s="15">
        <v>9.9</v>
      </c>
      <c r="K14" s="15">
        <v>79</v>
      </c>
    </row>
    <row r="15" spans="1:11" x14ac:dyDescent="0.35">
      <c r="A15" s="2" t="s">
        <v>46</v>
      </c>
      <c r="B15" s="13">
        <v>39018</v>
      </c>
      <c r="C15" s="13" t="s">
        <v>142</v>
      </c>
      <c r="D15" s="13" t="s">
        <v>286</v>
      </c>
      <c r="E15" s="21">
        <f>$B$103-Dealer_Operations_Table[[#This Row],[Days Down]]</f>
        <v>46120</v>
      </c>
      <c r="F15" s="14">
        <v>35</v>
      </c>
      <c r="G15" s="14">
        <v>5</v>
      </c>
      <c r="H15" s="12" t="s">
        <v>31</v>
      </c>
      <c r="I15" s="14">
        <v>73</v>
      </c>
      <c r="J15" s="15">
        <v>9.9</v>
      </c>
      <c r="K15" s="15">
        <v>79</v>
      </c>
    </row>
    <row r="16" spans="1:11" x14ac:dyDescent="0.35">
      <c r="A16" s="2" t="s">
        <v>43</v>
      </c>
      <c r="B16" s="13">
        <v>39018</v>
      </c>
      <c r="C16" s="13" t="s">
        <v>142</v>
      </c>
      <c r="D16" s="13" t="s">
        <v>286</v>
      </c>
      <c r="E16" s="21">
        <f>$B$103-Dealer_Operations_Table[[#This Row],[Days Down]]</f>
        <v>46125</v>
      </c>
      <c r="F16" s="14">
        <v>30</v>
      </c>
      <c r="G16" s="14">
        <v>4</v>
      </c>
      <c r="H16" s="12" t="s">
        <v>38</v>
      </c>
      <c r="I16" s="14">
        <v>73</v>
      </c>
      <c r="J16" s="15">
        <v>9.9</v>
      </c>
      <c r="K16" s="15">
        <v>79</v>
      </c>
    </row>
    <row r="17" spans="1:11" x14ac:dyDescent="0.35">
      <c r="A17" s="2" t="s">
        <v>86</v>
      </c>
      <c r="B17" s="13">
        <v>39018</v>
      </c>
      <c r="C17" s="13" t="s">
        <v>142</v>
      </c>
      <c r="D17" s="13" t="s">
        <v>286</v>
      </c>
      <c r="E17" s="21">
        <f>$B$103-Dealer_Operations_Table[[#This Row],[Days Down]]</f>
        <v>46128</v>
      </c>
      <c r="F17" s="14">
        <v>27</v>
      </c>
      <c r="G17" s="14">
        <v>4</v>
      </c>
      <c r="H17" s="12" t="s">
        <v>29</v>
      </c>
      <c r="I17" s="14">
        <v>73</v>
      </c>
      <c r="J17" s="15">
        <v>9.9</v>
      </c>
      <c r="K17" s="15">
        <v>79</v>
      </c>
    </row>
    <row r="18" spans="1:11" x14ac:dyDescent="0.35">
      <c r="A18" s="2" t="s">
        <v>74</v>
      </c>
      <c r="B18" s="13">
        <v>39018</v>
      </c>
      <c r="C18" s="13" t="s">
        <v>142</v>
      </c>
      <c r="D18" s="13" t="s">
        <v>286</v>
      </c>
      <c r="E18" s="21">
        <f>$B$103-Dealer_Operations_Table[[#This Row],[Days Down]]</f>
        <v>46131</v>
      </c>
      <c r="F18" s="14">
        <v>24</v>
      </c>
      <c r="G18" s="14">
        <v>0</v>
      </c>
      <c r="H18" s="12" t="s">
        <v>31</v>
      </c>
      <c r="I18" s="14">
        <v>73</v>
      </c>
      <c r="J18" s="15">
        <v>9.9</v>
      </c>
      <c r="K18" s="15">
        <v>79</v>
      </c>
    </row>
    <row r="19" spans="1:11" x14ac:dyDescent="0.35">
      <c r="A19" s="2" t="s">
        <v>45</v>
      </c>
      <c r="B19" s="13">
        <v>39018</v>
      </c>
      <c r="C19" s="13" t="s">
        <v>142</v>
      </c>
      <c r="D19" s="13" t="s">
        <v>286</v>
      </c>
      <c r="E19" s="21">
        <f>$B$103-Dealer_Operations_Table[[#This Row],[Days Down]]</f>
        <v>46132</v>
      </c>
      <c r="F19" s="14">
        <v>23</v>
      </c>
      <c r="G19" s="14">
        <v>3</v>
      </c>
      <c r="H19" s="12" t="s">
        <v>31</v>
      </c>
      <c r="I19" s="14">
        <v>73</v>
      </c>
      <c r="J19" s="15">
        <v>9.9</v>
      </c>
      <c r="K19" s="15">
        <v>79</v>
      </c>
    </row>
    <row r="20" spans="1:11" x14ac:dyDescent="0.35">
      <c r="A20" s="2" t="s">
        <v>114</v>
      </c>
      <c r="B20" s="13">
        <v>39018</v>
      </c>
      <c r="C20" s="13" t="s">
        <v>142</v>
      </c>
      <c r="D20" s="13" t="s">
        <v>286</v>
      </c>
      <c r="E20" s="21">
        <f>$B$103-Dealer_Operations_Table[[#This Row],[Days Down]]</f>
        <v>46134</v>
      </c>
      <c r="F20" s="14">
        <v>21</v>
      </c>
      <c r="G20" s="14">
        <v>2</v>
      </c>
      <c r="H20" s="12" t="s">
        <v>38</v>
      </c>
      <c r="I20" s="14">
        <v>73</v>
      </c>
      <c r="J20" s="15">
        <v>9.9</v>
      </c>
      <c r="K20" s="15">
        <v>79</v>
      </c>
    </row>
    <row r="21" spans="1:11" x14ac:dyDescent="0.35">
      <c r="A21" s="2" t="s">
        <v>68</v>
      </c>
      <c r="B21" s="13">
        <v>39018</v>
      </c>
      <c r="C21" s="13" t="s">
        <v>142</v>
      </c>
      <c r="D21" s="13" t="s">
        <v>286</v>
      </c>
      <c r="E21" s="21">
        <f>$B$103-Dealer_Operations_Table[[#This Row],[Days Down]]</f>
        <v>46135</v>
      </c>
      <c r="F21" s="14">
        <v>20</v>
      </c>
      <c r="G21" s="14">
        <v>5</v>
      </c>
      <c r="H21" s="12" t="s">
        <v>31</v>
      </c>
      <c r="I21" s="14">
        <v>73</v>
      </c>
      <c r="J21" s="15">
        <v>9.9</v>
      </c>
      <c r="K21" s="15">
        <v>79</v>
      </c>
    </row>
    <row r="22" spans="1:11" x14ac:dyDescent="0.35">
      <c r="A22" s="2" t="s">
        <v>92</v>
      </c>
      <c r="B22" s="13">
        <v>39018</v>
      </c>
      <c r="C22" s="13" t="s">
        <v>142</v>
      </c>
      <c r="D22" s="13" t="s">
        <v>286</v>
      </c>
      <c r="E22" s="21">
        <f>$B$103-Dealer_Operations_Table[[#This Row],[Days Down]]</f>
        <v>46136</v>
      </c>
      <c r="F22" s="14">
        <v>19</v>
      </c>
      <c r="G22" s="14">
        <v>3</v>
      </c>
      <c r="H22" s="12" t="s">
        <v>29</v>
      </c>
      <c r="I22" s="14">
        <v>73</v>
      </c>
      <c r="J22" s="15">
        <v>9.9</v>
      </c>
      <c r="K22" s="15">
        <v>79</v>
      </c>
    </row>
    <row r="23" spans="1:11" x14ac:dyDescent="0.35">
      <c r="A23" s="2" t="s">
        <v>108</v>
      </c>
      <c r="B23" s="13">
        <v>39018</v>
      </c>
      <c r="C23" s="13" t="s">
        <v>142</v>
      </c>
      <c r="D23" s="13" t="s">
        <v>286</v>
      </c>
      <c r="E23" s="21">
        <f>$B$103-Dealer_Operations_Table[[#This Row],[Days Down]]</f>
        <v>46138</v>
      </c>
      <c r="F23" s="14">
        <v>17</v>
      </c>
      <c r="G23" s="14">
        <v>0</v>
      </c>
      <c r="H23" s="12" t="s">
        <v>38</v>
      </c>
      <c r="I23" s="14">
        <v>73</v>
      </c>
      <c r="J23" s="15">
        <v>9.9</v>
      </c>
      <c r="K23" s="15">
        <v>79</v>
      </c>
    </row>
    <row r="24" spans="1:11" x14ac:dyDescent="0.35">
      <c r="A24" s="2" t="s">
        <v>105</v>
      </c>
      <c r="B24" s="13">
        <v>39018</v>
      </c>
      <c r="C24" s="13" t="s">
        <v>142</v>
      </c>
      <c r="D24" s="13" t="s">
        <v>286</v>
      </c>
      <c r="E24" s="21">
        <f>$B$103-Dealer_Operations_Table[[#This Row],[Days Down]]</f>
        <v>46144</v>
      </c>
      <c r="F24" s="14">
        <v>11</v>
      </c>
      <c r="G24" s="14">
        <v>3</v>
      </c>
      <c r="H24" s="12" t="s">
        <v>38</v>
      </c>
      <c r="I24" s="14">
        <v>73</v>
      </c>
      <c r="J24" s="15">
        <v>9.9</v>
      </c>
      <c r="K24" s="15">
        <v>79</v>
      </c>
    </row>
    <row r="25" spans="1:11" x14ac:dyDescent="0.35">
      <c r="A25" s="2" t="s">
        <v>79</v>
      </c>
      <c r="B25" s="13">
        <v>39018</v>
      </c>
      <c r="C25" s="13" t="s">
        <v>142</v>
      </c>
      <c r="D25" s="13" t="s">
        <v>286</v>
      </c>
      <c r="E25" s="21">
        <f>$B$103-Dealer_Operations_Table[[#This Row],[Days Down]]</f>
        <v>46146</v>
      </c>
      <c r="F25" s="14">
        <v>9</v>
      </c>
      <c r="G25" s="14">
        <v>3</v>
      </c>
      <c r="H25" s="12" t="s">
        <v>29</v>
      </c>
      <c r="I25" s="14">
        <v>73</v>
      </c>
      <c r="J25" s="15">
        <v>9.9</v>
      </c>
      <c r="K25" s="15">
        <v>79</v>
      </c>
    </row>
    <row r="26" spans="1:11" x14ac:dyDescent="0.35">
      <c r="A26" s="2" t="s">
        <v>121</v>
      </c>
      <c r="B26" s="13">
        <v>39018</v>
      </c>
      <c r="C26" s="13" t="s">
        <v>142</v>
      </c>
      <c r="D26" s="13" t="s">
        <v>286</v>
      </c>
      <c r="E26" s="21">
        <f>$B$103-Dealer_Operations_Table[[#This Row],[Days Down]]</f>
        <v>46147</v>
      </c>
      <c r="F26" s="14">
        <v>8</v>
      </c>
      <c r="G26" s="14">
        <v>0</v>
      </c>
      <c r="H26" s="12" t="s">
        <v>38</v>
      </c>
      <c r="I26" s="14">
        <v>73</v>
      </c>
      <c r="J26" s="15">
        <v>9.9</v>
      </c>
      <c r="K26" s="15">
        <v>79</v>
      </c>
    </row>
    <row r="27" spans="1:11" x14ac:dyDescent="0.35">
      <c r="A27" s="2" t="s">
        <v>95</v>
      </c>
      <c r="B27" s="13">
        <v>39018</v>
      </c>
      <c r="C27" s="13" t="s">
        <v>142</v>
      </c>
      <c r="D27" s="13" t="s">
        <v>286</v>
      </c>
      <c r="E27" s="21">
        <f>$B$103-Dealer_Operations_Table[[#This Row],[Days Down]]</f>
        <v>46153</v>
      </c>
      <c r="F27" s="14">
        <v>2</v>
      </c>
      <c r="G27" s="14">
        <v>5</v>
      </c>
      <c r="H27" s="12" t="s">
        <v>29</v>
      </c>
      <c r="I27" s="14">
        <v>73</v>
      </c>
      <c r="J27" s="15">
        <v>9.9</v>
      </c>
      <c r="K27" s="15">
        <v>79</v>
      </c>
    </row>
    <row r="28" spans="1:11" x14ac:dyDescent="0.35">
      <c r="A28" s="2" t="s">
        <v>120</v>
      </c>
      <c r="B28" s="13">
        <v>51244</v>
      </c>
      <c r="C28" s="13" t="s">
        <v>143</v>
      </c>
      <c r="D28" s="13" t="s">
        <v>285</v>
      </c>
      <c r="E28" s="21">
        <f>$B$103-Dealer_Operations_Table[[#This Row],[Days Down]]</f>
        <v>46110</v>
      </c>
      <c r="F28" s="14">
        <v>45</v>
      </c>
      <c r="G28" s="14">
        <v>5</v>
      </c>
      <c r="H28" s="12" t="s">
        <v>38</v>
      </c>
      <c r="I28" s="14">
        <v>82</v>
      </c>
      <c r="J28" s="15">
        <v>9.1999999999999993</v>
      </c>
      <c r="K28" s="15">
        <v>83</v>
      </c>
    </row>
    <row r="29" spans="1:11" x14ac:dyDescent="0.35">
      <c r="A29" s="2" t="s">
        <v>88</v>
      </c>
      <c r="B29" s="13">
        <v>51244</v>
      </c>
      <c r="C29" s="13" t="s">
        <v>143</v>
      </c>
      <c r="D29" s="13" t="s">
        <v>285</v>
      </c>
      <c r="E29" s="21">
        <f>$B$103-Dealer_Operations_Table[[#This Row],[Days Down]]</f>
        <v>46112</v>
      </c>
      <c r="F29" s="14">
        <v>43</v>
      </c>
      <c r="G29" s="14">
        <v>0</v>
      </c>
      <c r="H29" s="12" t="s">
        <v>38</v>
      </c>
      <c r="I29" s="14">
        <v>82</v>
      </c>
      <c r="J29" s="15">
        <v>9.1999999999999993</v>
      </c>
      <c r="K29" s="15">
        <v>83</v>
      </c>
    </row>
    <row r="30" spans="1:11" x14ac:dyDescent="0.35">
      <c r="A30" s="2" t="s">
        <v>54</v>
      </c>
      <c r="B30" s="13">
        <v>51244</v>
      </c>
      <c r="C30" s="13" t="s">
        <v>143</v>
      </c>
      <c r="D30" s="13" t="s">
        <v>285</v>
      </c>
      <c r="E30" s="21">
        <f>$B$103-Dealer_Operations_Table[[#This Row],[Days Down]]</f>
        <v>46112</v>
      </c>
      <c r="F30" s="14">
        <v>43</v>
      </c>
      <c r="G30" s="14">
        <v>4</v>
      </c>
      <c r="H30" s="12" t="s">
        <v>38</v>
      </c>
      <c r="I30" s="14">
        <v>82</v>
      </c>
      <c r="J30" s="15">
        <v>9.1999999999999993</v>
      </c>
      <c r="K30" s="15">
        <v>83</v>
      </c>
    </row>
    <row r="31" spans="1:11" x14ac:dyDescent="0.35">
      <c r="A31" s="2" t="s">
        <v>77</v>
      </c>
      <c r="B31" s="13">
        <v>51244</v>
      </c>
      <c r="C31" s="13" t="s">
        <v>143</v>
      </c>
      <c r="D31" s="13" t="s">
        <v>285</v>
      </c>
      <c r="E31" s="21">
        <f>$B$103-Dealer_Operations_Table[[#This Row],[Days Down]]</f>
        <v>46112</v>
      </c>
      <c r="F31" s="14">
        <v>43</v>
      </c>
      <c r="G31" s="14">
        <v>0</v>
      </c>
      <c r="H31" s="12" t="s">
        <v>38</v>
      </c>
      <c r="I31" s="14">
        <v>82</v>
      </c>
      <c r="J31" s="15">
        <v>9.1999999999999993</v>
      </c>
      <c r="K31" s="15">
        <v>83</v>
      </c>
    </row>
    <row r="32" spans="1:11" x14ac:dyDescent="0.35">
      <c r="A32" s="2" t="s">
        <v>63</v>
      </c>
      <c r="B32" s="13">
        <v>51244</v>
      </c>
      <c r="C32" s="13" t="s">
        <v>143</v>
      </c>
      <c r="D32" s="13" t="s">
        <v>285</v>
      </c>
      <c r="E32" s="21">
        <f>$B$103-Dealer_Operations_Table[[#This Row],[Days Down]]</f>
        <v>46119</v>
      </c>
      <c r="F32" s="14">
        <v>36</v>
      </c>
      <c r="G32" s="14">
        <v>0</v>
      </c>
      <c r="H32" s="12" t="s">
        <v>38</v>
      </c>
      <c r="I32" s="14">
        <v>82</v>
      </c>
      <c r="J32" s="15">
        <v>9.1999999999999993</v>
      </c>
      <c r="K32" s="15">
        <v>83</v>
      </c>
    </row>
    <row r="33" spans="1:11" x14ac:dyDescent="0.35">
      <c r="A33" s="2" t="s">
        <v>104</v>
      </c>
      <c r="B33" s="13">
        <v>51244</v>
      </c>
      <c r="C33" s="13" t="s">
        <v>143</v>
      </c>
      <c r="D33" s="13" t="s">
        <v>285</v>
      </c>
      <c r="E33" s="21">
        <f>$B$103-Dealer_Operations_Table[[#This Row],[Days Down]]</f>
        <v>46132</v>
      </c>
      <c r="F33" s="14">
        <v>23</v>
      </c>
      <c r="G33" s="14">
        <v>0</v>
      </c>
      <c r="H33" s="12" t="s">
        <v>38</v>
      </c>
      <c r="I33" s="14">
        <v>82</v>
      </c>
      <c r="J33" s="15">
        <v>9.1999999999999993</v>
      </c>
      <c r="K33" s="15">
        <v>83</v>
      </c>
    </row>
    <row r="34" spans="1:11" x14ac:dyDescent="0.35">
      <c r="A34" s="2" t="s">
        <v>71</v>
      </c>
      <c r="B34" s="13">
        <v>51244</v>
      </c>
      <c r="C34" s="13" t="s">
        <v>143</v>
      </c>
      <c r="D34" s="13" t="s">
        <v>285</v>
      </c>
      <c r="E34" s="21">
        <f>$B$103-Dealer_Operations_Table[[#This Row],[Days Down]]</f>
        <v>46139</v>
      </c>
      <c r="F34" s="14">
        <v>16</v>
      </c>
      <c r="G34" s="14">
        <v>4</v>
      </c>
      <c r="H34" s="12" t="s">
        <v>38</v>
      </c>
      <c r="I34" s="14">
        <v>82</v>
      </c>
      <c r="J34" s="15">
        <v>9.1999999999999993</v>
      </c>
      <c r="K34" s="15">
        <v>83</v>
      </c>
    </row>
    <row r="35" spans="1:11" x14ac:dyDescent="0.35">
      <c r="A35" s="2" t="s">
        <v>111</v>
      </c>
      <c r="B35" s="13">
        <v>51244</v>
      </c>
      <c r="C35" s="13" t="s">
        <v>143</v>
      </c>
      <c r="D35" s="13" t="s">
        <v>285</v>
      </c>
      <c r="E35" s="21">
        <f>$B$103-Dealer_Operations_Table[[#This Row],[Days Down]]</f>
        <v>46141</v>
      </c>
      <c r="F35" s="14">
        <v>14</v>
      </c>
      <c r="G35" s="14">
        <v>1</v>
      </c>
      <c r="H35" s="12" t="s">
        <v>38</v>
      </c>
      <c r="I35" s="14">
        <v>82</v>
      </c>
      <c r="J35" s="15">
        <v>9.1999999999999993</v>
      </c>
      <c r="K35" s="15">
        <v>83</v>
      </c>
    </row>
    <row r="36" spans="1:11" x14ac:dyDescent="0.35">
      <c r="A36" s="2" t="s">
        <v>118</v>
      </c>
      <c r="B36" s="13">
        <v>51244</v>
      </c>
      <c r="C36" s="13" t="s">
        <v>143</v>
      </c>
      <c r="D36" s="13" t="s">
        <v>285</v>
      </c>
      <c r="E36" s="21">
        <f>$B$103-Dealer_Operations_Table[[#This Row],[Days Down]]</f>
        <v>46141</v>
      </c>
      <c r="F36" s="14">
        <v>14</v>
      </c>
      <c r="G36" s="14">
        <v>4</v>
      </c>
      <c r="H36" s="12" t="s">
        <v>29</v>
      </c>
      <c r="I36" s="14">
        <v>82</v>
      </c>
      <c r="J36" s="15">
        <v>9.1999999999999993</v>
      </c>
      <c r="K36" s="15">
        <v>83</v>
      </c>
    </row>
    <row r="37" spans="1:11" x14ac:dyDescent="0.35">
      <c r="A37" s="2" t="s">
        <v>85</v>
      </c>
      <c r="B37" s="13">
        <v>51244</v>
      </c>
      <c r="C37" s="13" t="s">
        <v>143</v>
      </c>
      <c r="D37" s="13" t="s">
        <v>285</v>
      </c>
      <c r="E37" s="21">
        <f>$B$103-Dealer_Operations_Table[[#This Row],[Days Down]]</f>
        <v>46147</v>
      </c>
      <c r="F37" s="14">
        <v>8</v>
      </c>
      <c r="G37" s="14">
        <v>0</v>
      </c>
      <c r="H37" s="12" t="s">
        <v>38</v>
      </c>
      <c r="I37" s="14">
        <v>82</v>
      </c>
      <c r="J37" s="15">
        <v>9.1999999999999993</v>
      </c>
      <c r="K37" s="15">
        <v>83</v>
      </c>
    </row>
    <row r="38" spans="1:11" x14ac:dyDescent="0.35">
      <c r="A38" s="2" t="s">
        <v>130</v>
      </c>
      <c r="B38" s="13">
        <v>81773</v>
      </c>
      <c r="C38" s="13" t="s">
        <v>144</v>
      </c>
      <c r="D38" s="13" t="s">
        <v>286</v>
      </c>
      <c r="E38" s="21">
        <f>$B$103-Dealer_Operations_Table[[#This Row],[Days Down]]</f>
        <v>46106</v>
      </c>
      <c r="F38" s="14">
        <v>49</v>
      </c>
      <c r="G38" s="14">
        <v>3</v>
      </c>
      <c r="H38" s="12" t="s">
        <v>38</v>
      </c>
      <c r="I38" s="14">
        <v>68</v>
      </c>
      <c r="J38" s="15">
        <v>9.3000000000000007</v>
      </c>
      <c r="K38" s="15">
        <v>55</v>
      </c>
    </row>
    <row r="39" spans="1:11" x14ac:dyDescent="0.35">
      <c r="A39" s="2" t="s">
        <v>28</v>
      </c>
      <c r="B39" s="13">
        <v>81773</v>
      </c>
      <c r="C39" s="13" t="s">
        <v>144</v>
      </c>
      <c r="D39" s="13" t="s">
        <v>286</v>
      </c>
      <c r="E39" s="21">
        <f>$B$103-Dealer_Operations_Table[[#This Row],[Days Down]]</f>
        <v>46111</v>
      </c>
      <c r="F39" s="14">
        <v>44</v>
      </c>
      <c r="G39" s="14">
        <v>3</v>
      </c>
      <c r="H39" s="12" t="s">
        <v>29</v>
      </c>
      <c r="I39" s="14">
        <v>68</v>
      </c>
      <c r="J39" s="15">
        <v>9.3000000000000007</v>
      </c>
      <c r="K39" s="15">
        <v>55</v>
      </c>
    </row>
    <row r="40" spans="1:11" x14ac:dyDescent="0.35">
      <c r="A40" s="2" t="s">
        <v>52</v>
      </c>
      <c r="B40" s="13">
        <v>81773</v>
      </c>
      <c r="C40" s="13" t="s">
        <v>144</v>
      </c>
      <c r="D40" s="13" t="s">
        <v>286</v>
      </c>
      <c r="E40" s="21">
        <f>$B$103-Dealer_Operations_Table[[#This Row],[Days Down]]</f>
        <v>46113</v>
      </c>
      <c r="F40" s="14">
        <v>42</v>
      </c>
      <c r="G40" s="14">
        <v>2</v>
      </c>
      <c r="H40" s="12" t="s">
        <v>31</v>
      </c>
      <c r="I40" s="14">
        <v>68</v>
      </c>
      <c r="J40" s="15">
        <v>9.3000000000000007</v>
      </c>
      <c r="K40" s="15">
        <v>55</v>
      </c>
    </row>
    <row r="41" spans="1:11" x14ac:dyDescent="0.35">
      <c r="A41" s="2" t="s">
        <v>36</v>
      </c>
      <c r="B41" s="13">
        <v>81773</v>
      </c>
      <c r="C41" s="13" t="s">
        <v>144</v>
      </c>
      <c r="D41" s="13" t="s">
        <v>286</v>
      </c>
      <c r="E41" s="21">
        <f>$B$103-Dealer_Operations_Table[[#This Row],[Days Down]]</f>
        <v>46120</v>
      </c>
      <c r="F41" s="14">
        <v>35</v>
      </c>
      <c r="G41" s="14">
        <v>5</v>
      </c>
      <c r="H41" s="12" t="s">
        <v>31</v>
      </c>
      <c r="I41" s="14">
        <v>68</v>
      </c>
      <c r="J41" s="15">
        <v>9.3000000000000007</v>
      </c>
      <c r="K41" s="15">
        <v>55</v>
      </c>
    </row>
    <row r="42" spans="1:11" x14ac:dyDescent="0.35">
      <c r="A42" s="2" t="s">
        <v>126</v>
      </c>
      <c r="B42" s="13">
        <v>81773</v>
      </c>
      <c r="C42" s="13" t="s">
        <v>144</v>
      </c>
      <c r="D42" s="13" t="s">
        <v>286</v>
      </c>
      <c r="E42" s="21">
        <f>$B$103-Dealer_Operations_Table[[#This Row],[Days Down]]</f>
        <v>46123</v>
      </c>
      <c r="F42" s="14">
        <v>32</v>
      </c>
      <c r="G42" s="14">
        <v>5</v>
      </c>
      <c r="H42" s="12" t="s">
        <v>29</v>
      </c>
      <c r="I42" s="14">
        <v>68</v>
      </c>
      <c r="J42" s="15">
        <v>9.3000000000000007</v>
      </c>
      <c r="K42" s="15">
        <v>55</v>
      </c>
    </row>
    <row r="43" spans="1:11" x14ac:dyDescent="0.35">
      <c r="A43" s="2" t="s">
        <v>76</v>
      </c>
      <c r="B43" s="13">
        <v>81773</v>
      </c>
      <c r="C43" s="13" t="s">
        <v>144</v>
      </c>
      <c r="D43" s="13" t="s">
        <v>286</v>
      </c>
      <c r="E43" s="21">
        <f>$B$103-Dealer_Operations_Table[[#This Row],[Days Down]]</f>
        <v>46125</v>
      </c>
      <c r="F43" s="14">
        <v>30</v>
      </c>
      <c r="G43" s="14">
        <v>4</v>
      </c>
      <c r="H43" s="12" t="s">
        <v>31</v>
      </c>
      <c r="I43" s="14">
        <v>68</v>
      </c>
      <c r="J43" s="15">
        <v>9.3000000000000007</v>
      </c>
      <c r="K43" s="15">
        <v>55</v>
      </c>
    </row>
    <row r="44" spans="1:11" x14ac:dyDescent="0.35">
      <c r="A44" s="2" t="s">
        <v>66</v>
      </c>
      <c r="B44" s="13">
        <v>81773</v>
      </c>
      <c r="C44" s="13" t="s">
        <v>144</v>
      </c>
      <c r="D44" s="13" t="s">
        <v>286</v>
      </c>
      <c r="E44" s="21">
        <f>$B$103-Dealer_Operations_Table[[#This Row],[Days Down]]</f>
        <v>46126</v>
      </c>
      <c r="F44" s="14">
        <v>29</v>
      </c>
      <c r="G44" s="14">
        <v>0</v>
      </c>
      <c r="H44" s="12" t="s">
        <v>29</v>
      </c>
      <c r="I44" s="14">
        <v>68</v>
      </c>
      <c r="J44" s="15">
        <v>9.3000000000000007</v>
      </c>
      <c r="K44" s="15">
        <v>55</v>
      </c>
    </row>
    <row r="45" spans="1:11" x14ac:dyDescent="0.35">
      <c r="A45" s="2" t="s">
        <v>109</v>
      </c>
      <c r="B45" s="13">
        <v>81773</v>
      </c>
      <c r="C45" s="13" t="s">
        <v>144</v>
      </c>
      <c r="D45" s="13" t="s">
        <v>286</v>
      </c>
      <c r="E45" s="21">
        <f>$B$103-Dealer_Operations_Table[[#This Row],[Days Down]]</f>
        <v>46143</v>
      </c>
      <c r="F45" s="14">
        <v>12</v>
      </c>
      <c r="G45" s="14">
        <v>4</v>
      </c>
      <c r="H45" s="12" t="s">
        <v>38</v>
      </c>
      <c r="I45" s="14">
        <v>68</v>
      </c>
      <c r="J45" s="15">
        <v>9.3000000000000007</v>
      </c>
      <c r="K45" s="15">
        <v>55</v>
      </c>
    </row>
    <row r="46" spans="1:11" x14ac:dyDescent="0.35">
      <c r="A46" s="2" t="s">
        <v>62</v>
      </c>
      <c r="B46" s="13">
        <v>66520</v>
      </c>
      <c r="C46" s="13" t="s">
        <v>145</v>
      </c>
      <c r="D46" s="13" t="s">
        <v>286</v>
      </c>
      <c r="E46" s="21">
        <f>$B$103-Dealer_Operations_Table[[#This Row],[Days Down]]</f>
        <v>46112</v>
      </c>
      <c r="F46" s="14">
        <v>43</v>
      </c>
      <c r="G46" s="14">
        <v>2</v>
      </c>
      <c r="H46" s="12" t="s">
        <v>38</v>
      </c>
      <c r="I46" s="14">
        <v>82</v>
      </c>
      <c r="J46" s="15">
        <v>10.1</v>
      </c>
      <c r="K46" s="15">
        <v>56</v>
      </c>
    </row>
    <row r="47" spans="1:11" x14ac:dyDescent="0.35">
      <c r="A47" s="2" t="s">
        <v>56</v>
      </c>
      <c r="B47" s="13">
        <v>66520</v>
      </c>
      <c r="C47" s="13" t="s">
        <v>145</v>
      </c>
      <c r="D47" s="13" t="s">
        <v>286</v>
      </c>
      <c r="E47" s="21">
        <f>$B$103-Dealer_Operations_Table[[#This Row],[Days Down]]</f>
        <v>46117</v>
      </c>
      <c r="F47" s="14">
        <v>38</v>
      </c>
      <c r="G47" s="14">
        <v>1</v>
      </c>
      <c r="H47" s="12" t="s">
        <v>31</v>
      </c>
      <c r="I47" s="14">
        <v>64</v>
      </c>
      <c r="J47" s="15">
        <v>10.1</v>
      </c>
      <c r="K47" s="15">
        <v>56</v>
      </c>
    </row>
    <row r="48" spans="1:11" x14ac:dyDescent="0.35">
      <c r="A48" s="2" t="s">
        <v>30</v>
      </c>
      <c r="B48" s="13">
        <v>66520</v>
      </c>
      <c r="C48" s="13" t="s">
        <v>145</v>
      </c>
      <c r="D48" s="13" t="s">
        <v>286</v>
      </c>
      <c r="E48" s="21">
        <f>$B$103-Dealer_Operations_Table[[#This Row],[Days Down]]</f>
        <v>46120</v>
      </c>
      <c r="F48" s="14">
        <v>35</v>
      </c>
      <c r="G48" s="14">
        <v>3</v>
      </c>
      <c r="H48" s="12" t="s">
        <v>31</v>
      </c>
      <c r="I48" s="14">
        <v>64</v>
      </c>
      <c r="J48" s="15">
        <v>10.1</v>
      </c>
      <c r="K48" s="15">
        <v>56</v>
      </c>
    </row>
    <row r="49" spans="1:11" x14ac:dyDescent="0.35">
      <c r="A49" s="2" t="s">
        <v>99</v>
      </c>
      <c r="B49" s="13">
        <v>66520</v>
      </c>
      <c r="C49" s="13" t="s">
        <v>145</v>
      </c>
      <c r="D49" s="13" t="s">
        <v>286</v>
      </c>
      <c r="E49" s="21">
        <f>$B$103-Dealer_Operations_Table[[#This Row],[Days Down]]</f>
        <v>46124</v>
      </c>
      <c r="F49" s="14">
        <v>31</v>
      </c>
      <c r="G49" s="14">
        <v>2</v>
      </c>
      <c r="H49" s="12" t="s">
        <v>29</v>
      </c>
      <c r="I49" s="14">
        <v>64</v>
      </c>
      <c r="J49" s="15">
        <v>10.1</v>
      </c>
      <c r="K49" s="15">
        <v>56</v>
      </c>
    </row>
    <row r="50" spans="1:11" x14ac:dyDescent="0.35">
      <c r="A50" s="2" t="s">
        <v>47</v>
      </c>
      <c r="B50" s="13">
        <v>66520</v>
      </c>
      <c r="C50" s="13" t="s">
        <v>145</v>
      </c>
      <c r="D50" s="13" t="s">
        <v>286</v>
      </c>
      <c r="E50" s="21">
        <f>$B$103-Dealer_Operations_Table[[#This Row],[Days Down]]</f>
        <v>46124</v>
      </c>
      <c r="F50" s="14">
        <v>31</v>
      </c>
      <c r="G50" s="14">
        <v>5</v>
      </c>
      <c r="H50" s="12" t="s">
        <v>38</v>
      </c>
      <c r="I50" s="14">
        <v>64</v>
      </c>
      <c r="J50" s="15">
        <v>10.1</v>
      </c>
      <c r="K50" s="15">
        <v>56</v>
      </c>
    </row>
    <row r="51" spans="1:11" x14ac:dyDescent="0.35">
      <c r="A51" s="2" t="s">
        <v>49</v>
      </c>
      <c r="B51" s="13">
        <v>66520</v>
      </c>
      <c r="C51" s="13" t="s">
        <v>145</v>
      </c>
      <c r="D51" s="13" t="s">
        <v>286</v>
      </c>
      <c r="E51" s="21">
        <f>$B$103-Dealer_Operations_Table[[#This Row],[Days Down]]</f>
        <v>46125</v>
      </c>
      <c r="F51" s="14">
        <v>30</v>
      </c>
      <c r="G51" s="14">
        <v>5</v>
      </c>
      <c r="H51" s="12" t="s">
        <v>38</v>
      </c>
      <c r="I51" s="14">
        <v>64</v>
      </c>
      <c r="J51" s="15">
        <v>10.1</v>
      </c>
      <c r="K51" s="15">
        <v>56</v>
      </c>
    </row>
    <row r="52" spans="1:11" x14ac:dyDescent="0.35">
      <c r="A52" s="2" t="s">
        <v>73</v>
      </c>
      <c r="B52" s="13">
        <v>66520</v>
      </c>
      <c r="C52" s="13" t="s">
        <v>145</v>
      </c>
      <c r="D52" s="13" t="s">
        <v>286</v>
      </c>
      <c r="E52" s="21">
        <f>$B$103-Dealer_Operations_Table[[#This Row],[Days Down]]</f>
        <v>46126</v>
      </c>
      <c r="F52" s="14">
        <v>29</v>
      </c>
      <c r="G52" s="14">
        <v>0</v>
      </c>
      <c r="H52" s="12" t="s">
        <v>29</v>
      </c>
      <c r="I52" s="14">
        <v>64</v>
      </c>
      <c r="J52" s="15">
        <v>10.1</v>
      </c>
      <c r="K52" s="15">
        <v>56</v>
      </c>
    </row>
    <row r="53" spans="1:11" x14ac:dyDescent="0.35">
      <c r="A53" s="2" t="s">
        <v>65</v>
      </c>
      <c r="B53" s="13">
        <v>66520</v>
      </c>
      <c r="C53" s="13" t="s">
        <v>145</v>
      </c>
      <c r="D53" s="13" t="s">
        <v>286</v>
      </c>
      <c r="E53" s="21">
        <f>$B$103-Dealer_Operations_Table[[#This Row],[Days Down]]</f>
        <v>46132</v>
      </c>
      <c r="F53" s="14">
        <v>23</v>
      </c>
      <c r="G53" s="14">
        <v>0</v>
      </c>
      <c r="H53" s="12" t="s">
        <v>38</v>
      </c>
      <c r="I53" s="14">
        <v>64</v>
      </c>
      <c r="J53" s="15">
        <v>10.1</v>
      </c>
      <c r="K53" s="15">
        <v>56</v>
      </c>
    </row>
    <row r="54" spans="1:11" x14ac:dyDescent="0.35">
      <c r="A54" s="2" t="s">
        <v>101</v>
      </c>
      <c r="B54" s="13">
        <v>66520</v>
      </c>
      <c r="C54" s="13" t="s">
        <v>145</v>
      </c>
      <c r="D54" s="13" t="s">
        <v>286</v>
      </c>
      <c r="E54" s="21">
        <f>$B$103-Dealer_Operations_Table[[#This Row],[Days Down]]</f>
        <v>46141</v>
      </c>
      <c r="F54" s="14">
        <v>14</v>
      </c>
      <c r="G54" s="14">
        <v>0</v>
      </c>
      <c r="H54" s="12" t="s">
        <v>31</v>
      </c>
      <c r="I54" s="14">
        <v>64</v>
      </c>
      <c r="J54" s="15">
        <v>10.1</v>
      </c>
      <c r="K54" s="15">
        <v>56</v>
      </c>
    </row>
    <row r="55" spans="1:11" x14ac:dyDescent="0.35">
      <c r="A55" s="2" t="s">
        <v>35</v>
      </c>
      <c r="B55" s="13">
        <v>11425</v>
      </c>
      <c r="C55" s="13" t="s">
        <v>146</v>
      </c>
      <c r="D55" s="13" t="s">
        <v>285</v>
      </c>
      <c r="E55" s="21">
        <f>$B$103-Dealer_Operations_Table[[#This Row],[Days Down]]</f>
        <v>46108</v>
      </c>
      <c r="F55" s="14">
        <v>47</v>
      </c>
      <c r="G55" s="14">
        <v>0</v>
      </c>
      <c r="H55" s="12" t="s">
        <v>31</v>
      </c>
      <c r="I55" s="14">
        <v>86</v>
      </c>
      <c r="J55" s="15">
        <v>6.8</v>
      </c>
      <c r="K55" s="15">
        <v>89</v>
      </c>
    </row>
    <row r="56" spans="1:11" x14ac:dyDescent="0.35">
      <c r="A56" s="2" t="s">
        <v>69</v>
      </c>
      <c r="B56" s="13">
        <v>11425</v>
      </c>
      <c r="C56" s="13" t="s">
        <v>146</v>
      </c>
      <c r="D56" s="13" t="s">
        <v>285</v>
      </c>
      <c r="E56" s="21">
        <f>$B$103-Dealer_Operations_Table[[#This Row],[Days Down]]</f>
        <v>46111</v>
      </c>
      <c r="F56" s="14">
        <v>44</v>
      </c>
      <c r="G56" s="14">
        <v>1</v>
      </c>
      <c r="H56" s="12" t="s">
        <v>31</v>
      </c>
      <c r="I56" s="14">
        <v>86</v>
      </c>
      <c r="J56" s="15">
        <v>6.8</v>
      </c>
      <c r="K56" s="15">
        <v>89</v>
      </c>
    </row>
    <row r="57" spans="1:11" x14ac:dyDescent="0.35">
      <c r="A57" s="2" t="s">
        <v>125</v>
      </c>
      <c r="B57" s="13">
        <v>11425</v>
      </c>
      <c r="C57" s="13" t="s">
        <v>146</v>
      </c>
      <c r="D57" s="13" t="s">
        <v>285</v>
      </c>
      <c r="E57" s="21">
        <f>$B$103-Dealer_Operations_Table[[#This Row],[Days Down]]</f>
        <v>46125</v>
      </c>
      <c r="F57" s="14">
        <v>30</v>
      </c>
      <c r="G57" s="14">
        <v>3</v>
      </c>
      <c r="H57" s="12" t="s">
        <v>31</v>
      </c>
      <c r="I57" s="14">
        <v>86</v>
      </c>
      <c r="J57" s="15">
        <v>6.8</v>
      </c>
      <c r="K57" s="15">
        <v>89</v>
      </c>
    </row>
    <row r="58" spans="1:11" x14ac:dyDescent="0.35">
      <c r="A58" s="2" t="s">
        <v>34</v>
      </c>
      <c r="B58" s="13">
        <v>11425</v>
      </c>
      <c r="C58" s="13" t="s">
        <v>146</v>
      </c>
      <c r="D58" s="13" t="s">
        <v>285</v>
      </c>
      <c r="E58" s="21">
        <f>$B$103-Dealer_Operations_Table[[#This Row],[Days Down]]</f>
        <v>46128</v>
      </c>
      <c r="F58" s="14">
        <v>27</v>
      </c>
      <c r="G58" s="14">
        <v>5</v>
      </c>
      <c r="H58" s="12" t="s">
        <v>29</v>
      </c>
      <c r="I58" s="14">
        <v>86</v>
      </c>
      <c r="J58" s="15">
        <v>6.8</v>
      </c>
      <c r="K58" s="15">
        <v>89</v>
      </c>
    </row>
    <row r="59" spans="1:11" x14ac:dyDescent="0.35">
      <c r="A59" s="2" t="s">
        <v>37</v>
      </c>
      <c r="B59" s="13">
        <v>11425</v>
      </c>
      <c r="C59" s="13" t="s">
        <v>146</v>
      </c>
      <c r="D59" s="13" t="s">
        <v>285</v>
      </c>
      <c r="E59" s="21">
        <f>$B$103-Dealer_Operations_Table[[#This Row],[Days Down]]</f>
        <v>46130</v>
      </c>
      <c r="F59" s="14">
        <v>25</v>
      </c>
      <c r="G59" s="14">
        <v>5</v>
      </c>
      <c r="H59" s="12" t="s">
        <v>38</v>
      </c>
      <c r="I59" s="14">
        <v>86</v>
      </c>
      <c r="J59" s="15">
        <v>6.8</v>
      </c>
      <c r="K59" s="15">
        <v>89</v>
      </c>
    </row>
    <row r="60" spans="1:11" x14ac:dyDescent="0.35">
      <c r="A60" s="2" t="s">
        <v>94</v>
      </c>
      <c r="B60" s="13">
        <v>11425</v>
      </c>
      <c r="C60" s="13" t="s">
        <v>146</v>
      </c>
      <c r="D60" s="13" t="s">
        <v>285</v>
      </c>
      <c r="E60" s="21">
        <f>$B$103-Dealer_Operations_Table[[#This Row],[Days Down]]</f>
        <v>46132</v>
      </c>
      <c r="F60" s="14">
        <v>23</v>
      </c>
      <c r="G60" s="14">
        <v>2</v>
      </c>
      <c r="H60" s="12" t="s">
        <v>29</v>
      </c>
      <c r="I60" s="14">
        <v>86</v>
      </c>
      <c r="J60" s="15">
        <v>6.8</v>
      </c>
      <c r="K60" s="15">
        <v>89</v>
      </c>
    </row>
    <row r="61" spans="1:11" x14ac:dyDescent="0.35">
      <c r="A61" s="2" t="s">
        <v>82</v>
      </c>
      <c r="B61" s="13">
        <v>11425</v>
      </c>
      <c r="C61" s="13" t="s">
        <v>146</v>
      </c>
      <c r="D61" s="13" t="s">
        <v>285</v>
      </c>
      <c r="E61" s="21">
        <f>$B$103-Dealer_Operations_Table[[#This Row],[Days Down]]</f>
        <v>46137</v>
      </c>
      <c r="F61" s="14">
        <v>18</v>
      </c>
      <c r="G61" s="14">
        <v>3</v>
      </c>
      <c r="H61" s="12" t="s">
        <v>38</v>
      </c>
      <c r="I61" s="14">
        <v>86</v>
      </c>
      <c r="J61" s="15">
        <v>6.8</v>
      </c>
      <c r="K61" s="15">
        <v>89</v>
      </c>
    </row>
    <row r="62" spans="1:11" x14ac:dyDescent="0.35">
      <c r="A62" s="2" t="s">
        <v>83</v>
      </c>
      <c r="B62" s="13">
        <v>11425</v>
      </c>
      <c r="C62" s="13" t="s">
        <v>146</v>
      </c>
      <c r="D62" s="13" t="s">
        <v>285</v>
      </c>
      <c r="E62" s="21">
        <f>$B$103-Dealer_Operations_Table[[#This Row],[Days Down]]</f>
        <v>46138</v>
      </c>
      <c r="F62" s="14">
        <v>17</v>
      </c>
      <c r="G62" s="14">
        <v>3</v>
      </c>
      <c r="H62" s="12" t="s">
        <v>38</v>
      </c>
      <c r="I62" s="14">
        <v>86</v>
      </c>
      <c r="J62" s="15">
        <v>6.8</v>
      </c>
      <c r="K62" s="15">
        <v>89</v>
      </c>
    </row>
    <row r="63" spans="1:11" x14ac:dyDescent="0.35">
      <c r="A63" s="2" t="s">
        <v>87</v>
      </c>
      <c r="B63" s="13">
        <v>11425</v>
      </c>
      <c r="C63" s="13" t="s">
        <v>146</v>
      </c>
      <c r="D63" s="13" t="s">
        <v>285</v>
      </c>
      <c r="E63" s="21">
        <f>$B$103-Dealer_Operations_Table[[#This Row],[Days Down]]</f>
        <v>46140</v>
      </c>
      <c r="F63" s="14">
        <v>15</v>
      </c>
      <c r="G63" s="14">
        <v>2</v>
      </c>
      <c r="H63" s="12" t="s">
        <v>31</v>
      </c>
      <c r="I63" s="14">
        <v>86</v>
      </c>
      <c r="J63" s="15">
        <v>6.8</v>
      </c>
      <c r="K63" s="15">
        <v>89</v>
      </c>
    </row>
    <row r="64" spans="1:11" x14ac:dyDescent="0.35">
      <c r="A64" s="2" t="s">
        <v>103</v>
      </c>
      <c r="B64" s="13">
        <v>11425</v>
      </c>
      <c r="C64" s="13" t="s">
        <v>146</v>
      </c>
      <c r="D64" s="13" t="s">
        <v>285</v>
      </c>
      <c r="E64" s="21">
        <f>$B$103-Dealer_Operations_Table[[#This Row],[Days Down]]</f>
        <v>46141</v>
      </c>
      <c r="F64" s="14">
        <v>14</v>
      </c>
      <c r="G64" s="14">
        <v>2</v>
      </c>
      <c r="H64" s="12" t="s">
        <v>38</v>
      </c>
      <c r="I64" s="14">
        <v>86</v>
      </c>
      <c r="J64" s="15">
        <v>6.8</v>
      </c>
      <c r="K64" s="15">
        <v>89</v>
      </c>
    </row>
    <row r="65" spans="1:11" x14ac:dyDescent="0.35">
      <c r="A65" s="2" t="s">
        <v>106</v>
      </c>
      <c r="B65" s="13">
        <v>11425</v>
      </c>
      <c r="C65" s="13" t="s">
        <v>146</v>
      </c>
      <c r="D65" s="13" t="s">
        <v>285</v>
      </c>
      <c r="E65" s="21">
        <f>$B$103-Dealer_Operations_Table[[#This Row],[Days Down]]</f>
        <v>46148</v>
      </c>
      <c r="F65" s="14">
        <v>7</v>
      </c>
      <c r="G65" s="14">
        <v>2</v>
      </c>
      <c r="H65" s="12" t="s">
        <v>31</v>
      </c>
      <c r="I65" s="14">
        <v>86</v>
      </c>
      <c r="J65" s="15">
        <v>6.8</v>
      </c>
      <c r="K65" s="15">
        <v>89</v>
      </c>
    </row>
    <row r="66" spans="1:11" x14ac:dyDescent="0.35">
      <c r="A66" s="2" t="s">
        <v>44</v>
      </c>
      <c r="B66" s="13">
        <v>20318</v>
      </c>
      <c r="C66" s="13" t="s">
        <v>147</v>
      </c>
      <c r="D66" s="13" t="s">
        <v>286</v>
      </c>
      <c r="E66" s="21">
        <f>$B$103-Dealer_Operations_Table[[#This Row],[Days Down]]</f>
        <v>46109</v>
      </c>
      <c r="F66" s="14">
        <v>46</v>
      </c>
      <c r="G66" s="14">
        <v>5</v>
      </c>
      <c r="H66" s="12" t="s">
        <v>31</v>
      </c>
      <c r="I66" s="14">
        <v>86</v>
      </c>
      <c r="J66" s="15">
        <v>7.4</v>
      </c>
      <c r="K66" s="15">
        <v>94</v>
      </c>
    </row>
    <row r="67" spans="1:11" x14ac:dyDescent="0.35">
      <c r="A67" s="2" t="s">
        <v>58</v>
      </c>
      <c r="B67" s="13">
        <v>20318</v>
      </c>
      <c r="C67" s="13" t="s">
        <v>147</v>
      </c>
      <c r="D67" s="13" t="s">
        <v>286</v>
      </c>
      <c r="E67" s="21">
        <f>$B$103-Dealer_Operations_Table[[#This Row],[Days Down]]</f>
        <v>46111</v>
      </c>
      <c r="F67" s="14">
        <v>44</v>
      </c>
      <c r="G67" s="14">
        <v>5</v>
      </c>
      <c r="H67" s="12" t="s">
        <v>31</v>
      </c>
      <c r="I67" s="14">
        <v>89</v>
      </c>
      <c r="J67" s="15">
        <v>7.4</v>
      </c>
      <c r="K67" s="15">
        <v>94</v>
      </c>
    </row>
    <row r="68" spans="1:11" x14ac:dyDescent="0.35">
      <c r="A68" s="2" t="s">
        <v>70</v>
      </c>
      <c r="B68" s="13">
        <v>20318</v>
      </c>
      <c r="C68" s="13" t="s">
        <v>147</v>
      </c>
      <c r="D68" s="13" t="s">
        <v>286</v>
      </c>
      <c r="E68" s="21">
        <f>$B$103-Dealer_Operations_Table[[#This Row],[Days Down]]</f>
        <v>46121</v>
      </c>
      <c r="F68" s="14">
        <v>34</v>
      </c>
      <c r="G68" s="14">
        <v>2</v>
      </c>
      <c r="H68" s="12" t="s">
        <v>31</v>
      </c>
      <c r="I68" s="14">
        <v>89</v>
      </c>
      <c r="J68" s="15">
        <v>7.4</v>
      </c>
      <c r="K68" s="15">
        <v>94</v>
      </c>
    </row>
    <row r="69" spans="1:11" x14ac:dyDescent="0.35">
      <c r="A69" s="2" t="s">
        <v>96</v>
      </c>
      <c r="B69" s="13">
        <v>20318</v>
      </c>
      <c r="C69" s="13" t="s">
        <v>147</v>
      </c>
      <c r="D69" s="13" t="s">
        <v>286</v>
      </c>
      <c r="E69" s="21">
        <f>$B$103-Dealer_Operations_Table[[#This Row],[Days Down]]</f>
        <v>46122</v>
      </c>
      <c r="F69" s="14">
        <v>33</v>
      </c>
      <c r="G69" s="14">
        <v>0</v>
      </c>
      <c r="H69" s="12" t="s">
        <v>38</v>
      </c>
      <c r="I69" s="14">
        <v>89</v>
      </c>
      <c r="J69" s="15">
        <v>7.4</v>
      </c>
      <c r="K69" s="15">
        <v>94</v>
      </c>
    </row>
    <row r="70" spans="1:11" x14ac:dyDescent="0.35">
      <c r="A70" s="2" t="s">
        <v>40</v>
      </c>
      <c r="B70" s="13">
        <v>20318</v>
      </c>
      <c r="C70" s="13" t="s">
        <v>147</v>
      </c>
      <c r="D70" s="13" t="s">
        <v>286</v>
      </c>
      <c r="E70" s="21">
        <f>$B$103-Dealer_Operations_Table[[#This Row],[Days Down]]</f>
        <v>46126</v>
      </c>
      <c r="F70" s="14">
        <v>29</v>
      </c>
      <c r="G70" s="14">
        <v>0</v>
      </c>
      <c r="H70" s="12" t="s">
        <v>38</v>
      </c>
      <c r="I70" s="14">
        <v>89</v>
      </c>
      <c r="J70" s="15">
        <v>7.4</v>
      </c>
      <c r="K70" s="15">
        <v>94</v>
      </c>
    </row>
    <row r="71" spans="1:11" x14ac:dyDescent="0.35">
      <c r="A71" s="2" t="s">
        <v>80</v>
      </c>
      <c r="B71" s="13">
        <v>20318</v>
      </c>
      <c r="C71" s="13" t="s">
        <v>147</v>
      </c>
      <c r="D71" s="13" t="s">
        <v>286</v>
      </c>
      <c r="E71" s="21">
        <f>$B$103-Dealer_Operations_Table[[#This Row],[Days Down]]</f>
        <v>46141</v>
      </c>
      <c r="F71" s="14">
        <v>14</v>
      </c>
      <c r="G71" s="14">
        <v>1</v>
      </c>
      <c r="H71" s="12" t="s">
        <v>38</v>
      </c>
      <c r="I71" s="14">
        <v>89</v>
      </c>
      <c r="J71" s="15">
        <v>7.4</v>
      </c>
      <c r="K71" s="15">
        <v>94</v>
      </c>
    </row>
    <row r="72" spans="1:11" x14ac:dyDescent="0.35">
      <c r="A72" s="2" t="s">
        <v>48</v>
      </c>
      <c r="B72" s="13">
        <v>55102</v>
      </c>
      <c r="C72" s="13" t="s">
        <v>148</v>
      </c>
      <c r="D72" s="13" t="s">
        <v>286</v>
      </c>
      <c r="E72" s="21">
        <f>$B$103-Dealer_Operations_Table[[#This Row],[Days Down]]</f>
        <v>46115</v>
      </c>
      <c r="F72" s="14">
        <v>40</v>
      </c>
      <c r="G72" s="14">
        <v>4</v>
      </c>
      <c r="H72" s="12" t="s">
        <v>38</v>
      </c>
      <c r="I72" s="14">
        <v>94</v>
      </c>
      <c r="J72" s="15">
        <v>8.4</v>
      </c>
      <c r="K72" s="15">
        <v>87</v>
      </c>
    </row>
    <row r="73" spans="1:11" x14ac:dyDescent="0.35">
      <c r="A73" s="2" t="s">
        <v>59</v>
      </c>
      <c r="B73" s="13">
        <v>55102</v>
      </c>
      <c r="C73" s="13" t="s">
        <v>148</v>
      </c>
      <c r="D73" s="13" t="s">
        <v>286</v>
      </c>
      <c r="E73" s="21">
        <f>$B$103-Dealer_Operations_Table[[#This Row],[Days Down]]</f>
        <v>46121</v>
      </c>
      <c r="F73" s="14">
        <v>34</v>
      </c>
      <c r="G73" s="14">
        <v>2</v>
      </c>
      <c r="H73" s="12" t="s">
        <v>38</v>
      </c>
      <c r="I73" s="14">
        <v>94</v>
      </c>
      <c r="J73" s="15">
        <v>8.4</v>
      </c>
      <c r="K73" s="15">
        <v>87</v>
      </c>
    </row>
    <row r="74" spans="1:11" x14ac:dyDescent="0.35">
      <c r="A74" s="2" t="s">
        <v>53</v>
      </c>
      <c r="B74" s="13">
        <v>55102</v>
      </c>
      <c r="C74" s="13" t="s">
        <v>148</v>
      </c>
      <c r="D74" s="13" t="s">
        <v>286</v>
      </c>
      <c r="E74" s="21">
        <f>$B$103-Dealer_Operations_Table[[#This Row],[Days Down]]</f>
        <v>46122</v>
      </c>
      <c r="F74" s="14">
        <v>33</v>
      </c>
      <c r="G74" s="14">
        <v>4</v>
      </c>
      <c r="H74" s="12" t="s">
        <v>31</v>
      </c>
      <c r="I74" s="14">
        <v>94</v>
      </c>
      <c r="J74" s="15">
        <v>8.4</v>
      </c>
      <c r="K74" s="15">
        <v>87</v>
      </c>
    </row>
    <row r="75" spans="1:11" x14ac:dyDescent="0.35">
      <c r="A75" s="2" t="s">
        <v>107</v>
      </c>
      <c r="B75" s="13">
        <v>55102</v>
      </c>
      <c r="C75" s="13" t="s">
        <v>148</v>
      </c>
      <c r="D75" s="13" t="s">
        <v>286</v>
      </c>
      <c r="E75" s="21">
        <f>$B$103-Dealer_Operations_Table[[#This Row],[Days Down]]</f>
        <v>46135</v>
      </c>
      <c r="F75" s="14">
        <v>20</v>
      </c>
      <c r="G75" s="14">
        <v>4</v>
      </c>
      <c r="H75" s="12" t="s">
        <v>31</v>
      </c>
      <c r="I75" s="14">
        <v>94</v>
      </c>
      <c r="J75" s="15">
        <v>8.4</v>
      </c>
      <c r="K75" s="15">
        <v>87</v>
      </c>
    </row>
    <row r="76" spans="1:11" x14ac:dyDescent="0.35">
      <c r="A76" s="2" t="s">
        <v>102</v>
      </c>
      <c r="B76" s="13">
        <v>55102</v>
      </c>
      <c r="C76" s="13" t="s">
        <v>148</v>
      </c>
      <c r="D76" s="13" t="s">
        <v>286</v>
      </c>
      <c r="E76" s="21">
        <f>$B$103-Dealer_Operations_Table[[#This Row],[Days Down]]</f>
        <v>46149</v>
      </c>
      <c r="F76" s="14">
        <v>6</v>
      </c>
      <c r="G76" s="14">
        <v>4</v>
      </c>
      <c r="H76" s="12" t="s">
        <v>38</v>
      </c>
      <c r="I76" s="14">
        <v>94</v>
      </c>
      <c r="J76" s="15">
        <v>8.4</v>
      </c>
      <c r="K76" s="15">
        <v>87</v>
      </c>
    </row>
    <row r="77" spans="1:11" x14ac:dyDescent="0.35">
      <c r="A77" s="2" t="s">
        <v>50</v>
      </c>
      <c r="B77" s="13">
        <v>99214</v>
      </c>
      <c r="C77" s="13" t="s">
        <v>149</v>
      </c>
      <c r="D77" s="13" t="s">
        <v>285</v>
      </c>
      <c r="E77" s="21">
        <f>$B$103-Dealer_Operations_Table[[#This Row],[Days Down]]</f>
        <v>46107</v>
      </c>
      <c r="F77" s="14">
        <v>48</v>
      </c>
      <c r="G77" s="14">
        <v>5</v>
      </c>
      <c r="H77" s="12" t="s">
        <v>38</v>
      </c>
      <c r="I77" s="14">
        <v>68</v>
      </c>
      <c r="J77" s="15">
        <v>8.4</v>
      </c>
      <c r="K77" s="15">
        <v>88</v>
      </c>
    </row>
    <row r="78" spans="1:11" x14ac:dyDescent="0.35">
      <c r="A78" s="2" t="s">
        <v>127</v>
      </c>
      <c r="B78" s="13">
        <v>99214</v>
      </c>
      <c r="C78" s="13" t="s">
        <v>149</v>
      </c>
      <c r="D78" s="13" t="s">
        <v>285</v>
      </c>
      <c r="E78" s="21">
        <f>$B$103-Dealer_Operations_Table[[#This Row],[Days Down]]</f>
        <v>46108</v>
      </c>
      <c r="F78" s="14">
        <v>47</v>
      </c>
      <c r="G78" s="14">
        <v>3</v>
      </c>
      <c r="H78" s="12" t="s">
        <v>29</v>
      </c>
      <c r="I78" s="14">
        <v>68</v>
      </c>
      <c r="J78" s="15">
        <v>8.4</v>
      </c>
      <c r="K78" s="15">
        <v>88</v>
      </c>
    </row>
    <row r="79" spans="1:11" x14ac:dyDescent="0.35">
      <c r="A79" s="2" t="s">
        <v>64</v>
      </c>
      <c r="B79" s="13">
        <v>99214</v>
      </c>
      <c r="C79" s="13" t="s">
        <v>149</v>
      </c>
      <c r="D79" s="13" t="s">
        <v>285</v>
      </c>
      <c r="E79" s="21">
        <f>$B$103-Dealer_Operations_Table[[#This Row],[Days Down]]</f>
        <v>46112</v>
      </c>
      <c r="F79" s="14">
        <v>43</v>
      </c>
      <c r="G79" s="14">
        <v>1</v>
      </c>
      <c r="H79" s="12" t="s">
        <v>31</v>
      </c>
      <c r="I79" s="14">
        <v>68</v>
      </c>
      <c r="J79" s="15">
        <v>8.4</v>
      </c>
      <c r="K79" s="15">
        <v>88</v>
      </c>
    </row>
    <row r="80" spans="1:11" x14ac:dyDescent="0.35">
      <c r="A80" s="2" t="s">
        <v>122</v>
      </c>
      <c r="B80" s="13">
        <v>99214</v>
      </c>
      <c r="C80" s="13" t="s">
        <v>149</v>
      </c>
      <c r="D80" s="13" t="s">
        <v>285</v>
      </c>
      <c r="E80" s="21">
        <f>$B$103-Dealer_Operations_Table[[#This Row],[Days Down]]</f>
        <v>46115</v>
      </c>
      <c r="F80" s="14">
        <v>40</v>
      </c>
      <c r="G80" s="14">
        <v>0</v>
      </c>
      <c r="H80" s="12" t="s">
        <v>38</v>
      </c>
      <c r="I80" s="14">
        <v>68</v>
      </c>
      <c r="J80" s="15">
        <v>8.4</v>
      </c>
      <c r="K80" s="15">
        <v>88</v>
      </c>
    </row>
    <row r="81" spans="1:11" x14ac:dyDescent="0.35">
      <c r="A81" s="2" t="s">
        <v>60</v>
      </c>
      <c r="B81" s="13">
        <v>99214</v>
      </c>
      <c r="C81" s="13" t="s">
        <v>149</v>
      </c>
      <c r="D81" s="13" t="s">
        <v>285</v>
      </c>
      <c r="E81" s="21">
        <f>$B$103-Dealer_Operations_Table[[#This Row],[Days Down]]</f>
        <v>46118</v>
      </c>
      <c r="F81" s="14">
        <v>37</v>
      </c>
      <c r="G81" s="14">
        <v>0</v>
      </c>
      <c r="H81" s="12" t="s">
        <v>38</v>
      </c>
      <c r="I81" s="14">
        <v>68</v>
      </c>
      <c r="J81" s="15">
        <v>8.4</v>
      </c>
      <c r="K81" s="15">
        <v>88</v>
      </c>
    </row>
    <row r="82" spans="1:11" x14ac:dyDescent="0.35">
      <c r="A82" s="2" t="s">
        <v>75</v>
      </c>
      <c r="B82" s="13">
        <v>99214</v>
      </c>
      <c r="C82" s="13" t="s">
        <v>149</v>
      </c>
      <c r="D82" s="13" t="s">
        <v>285</v>
      </c>
      <c r="E82" s="21">
        <f>$B$103-Dealer_Operations_Table[[#This Row],[Days Down]]</f>
        <v>46122</v>
      </c>
      <c r="F82" s="14">
        <v>33</v>
      </c>
      <c r="G82" s="14">
        <v>1</v>
      </c>
      <c r="H82" s="12" t="s">
        <v>38</v>
      </c>
      <c r="I82" s="14">
        <v>68</v>
      </c>
      <c r="J82" s="15">
        <v>8.4</v>
      </c>
      <c r="K82" s="15">
        <v>88</v>
      </c>
    </row>
    <row r="83" spans="1:11" x14ac:dyDescent="0.35">
      <c r="A83" s="2" t="s">
        <v>55</v>
      </c>
      <c r="B83" s="13">
        <v>99214</v>
      </c>
      <c r="C83" s="13" t="s">
        <v>149</v>
      </c>
      <c r="D83" s="13" t="s">
        <v>285</v>
      </c>
      <c r="E83" s="21">
        <f>$B$103-Dealer_Operations_Table[[#This Row],[Days Down]]</f>
        <v>46125</v>
      </c>
      <c r="F83" s="14">
        <v>30</v>
      </c>
      <c r="G83" s="14">
        <v>5</v>
      </c>
      <c r="H83" s="12" t="s">
        <v>29</v>
      </c>
      <c r="I83" s="14">
        <v>68</v>
      </c>
      <c r="J83" s="15">
        <v>8.4</v>
      </c>
      <c r="K83" s="15">
        <v>88</v>
      </c>
    </row>
    <row r="84" spans="1:11" x14ac:dyDescent="0.35">
      <c r="A84" s="2" t="s">
        <v>93</v>
      </c>
      <c r="B84" s="13">
        <v>99214</v>
      </c>
      <c r="C84" s="13" t="s">
        <v>149</v>
      </c>
      <c r="D84" s="13" t="s">
        <v>285</v>
      </c>
      <c r="E84" s="21">
        <f>$B$103-Dealer_Operations_Table[[#This Row],[Days Down]]</f>
        <v>46142</v>
      </c>
      <c r="F84" s="14">
        <v>13</v>
      </c>
      <c r="G84" s="14">
        <v>2</v>
      </c>
      <c r="H84" s="12" t="s">
        <v>31</v>
      </c>
      <c r="I84" s="14">
        <v>68</v>
      </c>
      <c r="J84" s="15">
        <v>8.4</v>
      </c>
      <c r="K84" s="15">
        <v>88</v>
      </c>
    </row>
    <row r="85" spans="1:11" x14ac:dyDescent="0.35">
      <c r="A85" s="2" t="s">
        <v>89</v>
      </c>
      <c r="B85" s="13">
        <v>99214</v>
      </c>
      <c r="C85" s="13" t="s">
        <v>149</v>
      </c>
      <c r="D85" s="13" t="s">
        <v>285</v>
      </c>
      <c r="E85" s="21">
        <f>$B$103-Dealer_Operations_Table[[#This Row],[Days Down]]</f>
        <v>46146</v>
      </c>
      <c r="F85" s="14">
        <v>9</v>
      </c>
      <c r="G85" s="14">
        <v>1</v>
      </c>
      <c r="H85" s="12" t="s">
        <v>29</v>
      </c>
      <c r="I85" s="14">
        <v>68</v>
      </c>
      <c r="J85" s="15">
        <v>8.4</v>
      </c>
      <c r="K85" s="15">
        <v>88</v>
      </c>
    </row>
    <row r="86" spans="1:11" x14ac:dyDescent="0.35">
      <c r="A86" s="2" t="s">
        <v>57</v>
      </c>
      <c r="B86" s="13">
        <v>77841</v>
      </c>
      <c r="C86" s="13" t="s">
        <v>150</v>
      </c>
      <c r="D86" s="13" t="s">
        <v>285</v>
      </c>
      <c r="E86" s="21">
        <f>$B$103-Dealer_Operations_Table[[#This Row],[Days Down]]</f>
        <v>46110</v>
      </c>
      <c r="F86" s="14">
        <v>45</v>
      </c>
      <c r="G86" s="14">
        <v>0</v>
      </c>
      <c r="H86" s="12" t="s">
        <v>38</v>
      </c>
      <c r="I86" s="14">
        <v>86</v>
      </c>
      <c r="J86" s="15">
        <v>8</v>
      </c>
      <c r="K86" s="15">
        <v>80</v>
      </c>
    </row>
    <row r="87" spans="1:11" x14ac:dyDescent="0.35">
      <c r="A87" s="2" t="s">
        <v>129</v>
      </c>
      <c r="B87" s="13">
        <v>77841</v>
      </c>
      <c r="C87" s="13" t="s">
        <v>150</v>
      </c>
      <c r="D87" s="13" t="s">
        <v>285</v>
      </c>
      <c r="E87" s="21">
        <f>$B$103-Dealer_Operations_Table[[#This Row],[Days Down]]</f>
        <v>46112</v>
      </c>
      <c r="F87" s="14">
        <v>43</v>
      </c>
      <c r="G87" s="14">
        <v>4</v>
      </c>
      <c r="H87" s="12" t="s">
        <v>38</v>
      </c>
      <c r="I87" s="14">
        <v>86</v>
      </c>
      <c r="J87" s="15">
        <v>8</v>
      </c>
      <c r="K87" s="15">
        <v>80</v>
      </c>
    </row>
    <row r="88" spans="1:11" x14ac:dyDescent="0.35">
      <c r="A88" s="2" t="s">
        <v>110</v>
      </c>
      <c r="B88" s="13">
        <v>77841</v>
      </c>
      <c r="C88" s="13" t="s">
        <v>150</v>
      </c>
      <c r="D88" s="13" t="s">
        <v>285</v>
      </c>
      <c r="E88" s="21">
        <f>$B$103-Dealer_Operations_Table[[#This Row],[Days Down]]</f>
        <v>46113</v>
      </c>
      <c r="F88" s="14">
        <v>42</v>
      </c>
      <c r="G88" s="14">
        <v>1</v>
      </c>
      <c r="H88" s="12" t="s">
        <v>38</v>
      </c>
      <c r="I88" s="14">
        <v>86</v>
      </c>
      <c r="J88" s="15">
        <v>8</v>
      </c>
      <c r="K88" s="15">
        <v>80</v>
      </c>
    </row>
    <row r="89" spans="1:11" x14ac:dyDescent="0.35">
      <c r="A89" s="2" t="s">
        <v>123</v>
      </c>
      <c r="B89" s="13">
        <v>77841</v>
      </c>
      <c r="C89" s="13" t="s">
        <v>150</v>
      </c>
      <c r="D89" s="13" t="s">
        <v>285</v>
      </c>
      <c r="E89" s="21">
        <f>$B$103-Dealer_Operations_Table[[#This Row],[Days Down]]</f>
        <v>46115</v>
      </c>
      <c r="F89" s="14">
        <v>40</v>
      </c>
      <c r="G89" s="14">
        <v>5</v>
      </c>
      <c r="H89" s="12" t="s">
        <v>29</v>
      </c>
      <c r="I89" s="14">
        <v>86</v>
      </c>
      <c r="J89" s="15">
        <v>8</v>
      </c>
      <c r="K89" s="15">
        <v>80</v>
      </c>
    </row>
    <row r="90" spans="1:11" x14ac:dyDescent="0.35">
      <c r="A90" s="2" t="s">
        <v>41</v>
      </c>
      <c r="B90" s="13">
        <v>77841</v>
      </c>
      <c r="C90" s="13" t="s">
        <v>150</v>
      </c>
      <c r="D90" s="13" t="s">
        <v>285</v>
      </c>
      <c r="E90" s="21">
        <f>$B$103-Dealer_Operations_Table[[#This Row],[Days Down]]</f>
        <v>46119</v>
      </c>
      <c r="F90" s="14">
        <v>36</v>
      </c>
      <c r="G90" s="14">
        <v>4</v>
      </c>
      <c r="H90" s="12" t="s">
        <v>29</v>
      </c>
      <c r="I90" s="14">
        <v>86</v>
      </c>
      <c r="J90" s="15">
        <v>8</v>
      </c>
      <c r="K90" s="15">
        <v>80</v>
      </c>
    </row>
    <row r="91" spans="1:11" x14ac:dyDescent="0.35">
      <c r="A91" s="2" t="s">
        <v>91</v>
      </c>
      <c r="B91" s="13">
        <v>77841</v>
      </c>
      <c r="C91" s="13" t="s">
        <v>150</v>
      </c>
      <c r="D91" s="13" t="s">
        <v>285</v>
      </c>
      <c r="E91" s="21">
        <f>$B$103-Dealer_Operations_Table[[#This Row],[Days Down]]</f>
        <v>46120</v>
      </c>
      <c r="F91" s="14">
        <v>35</v>
      </c>
      <c r="G91" s="14">
        <v>4</v>
      </c>
      <c r="H91" s="12" t="s">
        <v>38</v>
      </c>
      <c r="I91" s="14">
        <v>86</v>
      </c>
      <c r="J91" s="15">
        <v>8</v>
      </c>
      <c r="K91" s="15">
        <v>80</v>
      </c>
    </row>
    <row r="92" spans="1:11" x14ac:dyDescent="0.35">
      <c r="A92" s="2" t="s">
        <v>51</v>
      </c>
      <c r="B92" s="13">
        <v>77841</v>
      </c>
      <c r="C92" s="13" t="s">
        <v>150</v>
      </c>
      <c r="D92" s="13" t="s">
        <v>285</v>
      </c>
      <c r="E92" s="21">
        <f>$B$103-Dealer_Operations_Table[[#This Row],[Days Down]]</f>
        <v>46127</v>
      </c>
      <c r="F92" s="14">
        <v>28</v>
      </c>
      <c r="G92" s="14">
        <v>4</v>
      </c>
      <c r="H92" s="12" t="s">
        <v>29</v>
      </c>
      <c r="I92" s="14">
        <v>86</v>
      </c>
      <c r="J92" s="15">
        <v>8</v>
      </c>
      <c r="K92" s="15">
        <v>80</v>
      </c>
    </row>
    <row r="93" spans="1:11" x14ac:dyDescent="0.35">
      <c r="A93" s="2" t="s">
        <v>113</v>
      </c>
      <c r="B93" s="13">
        <v>77841</v>
      </c>
      <c r="C93" s="13" t="s">
        <v>150</v>
      </c>
      <c r="D93" s="13" t="s">
        <v>285</v>
      </c>
      <c r="E93" s="21">
        <f>$B$103-Dealer_Operations_Table[[#This Row],[Days Down]]</f>
        <v>46130</v>
      </c>
      <c r="F93" s="14">
        <v>25</v>
      </c>
      <c r="G93" s="14">
        <v>2</v>
      </c>
      <c r="H93" s="12" t="s">
        <v>38</v>
      </c>
      <c r="I93" s="14">
        <v>86</v>
      </c>
      <c r="J93" s="15">
        <v>8</v>
      </c>
      <c r="K93" s="15">
        <v>80</v>
      </c>
    </row>
    <row r="94" spans="1:11" x14ac:dyDescent="0.35">
      <c r="A94" s="2" t="s">
        <v>33</v>
      </c>
      <c r="B94" s="13">
        <v>77841</v>
      </c>
      <c r="C94" s="13" t="s">
        <v>150</v>
      </c>
      <c r="D94" s="13" t="s">
        <v>285</v>
      </c>
      <c r="E94" s="21">
        <f>$B$103-Dealer_Operations_Table[[#This Row],[Days Down]]</f>
        <v>46132</v>
      </c>
      <c r="F94" s="14">
        <v>23</v>
      </c>
      <c r="G94" s="14">
        <v>3</v>
      </c>
      <c r="H94" s="12" t="s">
        <v>31</v>
      </c>
      <c r="I94" s="14">
        <v>86</v>
      </c>
      <c r="J94" s="15">
        <v>8</v>
      </c>
      <c r="K94" s="15">
        <v>80</v>
      </c>
    </row>
    <row r="95" spans="1:11" x14ac:dyDescent="0.35">
      <c r="A95" s="2" t="s">
        <v>100</v>
      </c>
      <c r="B95" s="13">
        <v>77841</v>
      </c>
      <c r="C95" s="13" t="s">
        <v>150</v>
      </c>
      <c r="D95" s="13" t="s">
        <v>285</v>
      </c>
      <c r="E95" s="21">
        <f>$B$103-Dealer_Operations_Table[[#This Row],[Days Down]]</f>
        <v>46132</v>
      </c>
      <c r="F95" s="14">
        <v>23</v>
      </c>
      <c r="G95" s="14">
        <v>1</v>
      </c>
      <c r="H95" s="12" t="s">
        <v>38</v>
      </c>
      <c r="I95" s="14">
        <v>86</v>
      </c>
      <c r="J95" s="15">
        <v>8</v>
      </c>
      <c r="K95" s="15">
        <v>80</v>
      </c>
    </row>
    <row r="96" spans="1:11" x14ac:dyDescent="0.35">
      <c r="A96" s="2" t="s">
        <v>117</v>
      </c>
      <c r="B96" s="13">
        <v>77841</v>
      </c>
      <c r="C96" s="13" t="s">
        <v>150</v>
      </c>
      <c r="D96" s="13" t="s">
        <v>285</v>
      </c>
      <c r="E96" s="21">
        <f>$B$103-Dealer_Operations_Table[[#This Row],[Days Down]]</f>
        <v>46137</v>
      </c>
      <c r="F96" s="14">
        <v>18</v>
      </c>
      <c r="G96" s="14">
        <v>5</v>
      </c>
      <c r="H96" s="12" t="s">
        <v>38</v>
      </c>
      <c r="I96" s="14">
        <v>86</v>
      </c>
      <c r="J96" s="15">
        <v>8</v>
      </c>
      <c r="K96" s="15">
        <v>80</v>
      </c>
    </row>
    <row r="97" spans="1:11" x14ac:dyDescent="0.35">
      <c r="A97" s="2" t="s">
        <v>39</v>
      </c>
      <c r="B97" s="13">
        <v>77841</v>
      </c>
      <c r="C97" s="13" t="s">
        <v>150</v>
      </c>
      <c r="D97" s="13" t="s">
        <v>285</v>
      </c>
      <c r="E97" s="21">
        <f>$B$103-Dealer_Operations_Table[[#This Row],[Days Down]]</f>
        <v>46140</v>
      </c>
      <c r="F97" s="14">
        <v>15</v>
      </c>
      <c r="G97" s="14">
        <v>1</v>
      </c>
      <c r="H97" s="12" t="s">
        <v>29</v>
      </c>
      <c r="I97" s="14">
        <v>86</v>
      </c>
      <c r="J97" s="15">
        <v>8</v>
      </c>
      <c r="K97" s="15">
        <v>80</v>
      </c>
    </row>
    <row r="98" spans="1:11" x14ac:dyDescent="0.35">
      <c r="A98" s="2" t="s">
        <v>78</v>
      </c>
      <c r="B98" s="13">
        <v>77841</v>
      </c>
      <c r="C98" s="13" t="s">
        <v>150</v>
      </c>
      <c r="D98" s="13" t="s">
        <v>285</v>
      </c>
      <c r="E98" s="21">
        <f>$B$103-Dealer_Operations_Table[[#This Row],[Days Down]]</f>
        <v>46140</v>
      </c>
      <c r="F98" s="14">
        <v>15</v>
      </c>
      <c r="G98" s="14">
        <v>2</v>
      </c>
      <c r="H98" s="12" t="s">
        <v>38</v>
      </c>
      <c r="I98" s="14">
        <v>86</v>
      </c>
      <c r="J98" s="15">
        <v>8</v>
      </c>
      <c r="K98" s="15">
        <v>80</v>
      </c>
    </row>
    <row r="99" spans="1:11" x14ac:dyDescent="0.35">
      <c r="A99" s="2" t="s">
        <v>90</v>
      </c>
      <c r="B99" s="13">
        <v>77841</v>
      </c>
      <c r="C99" s="13" t="s">
        <v>150</v>
      </c>
      <c r="D99" s="13" t="s">
        <v>285</v>
      </c>
      <c r="E99" s="21">
        <f>$B$103-Dealer_Operations_Table[[#This Row],[Days Down]]</f>
        <v>46144</v>
      </c>
      <c r="F99" s="14">
        <v>11</v>
      </c>
      <c r="G99" s="14">
        <v>1</v>
      </c>
      <c r="H99" s="12" t="s">
        <v>31</v>
      </c>
      <c r="I99" s="14">
        <v>86</v>
      </c>
      <c r="J99" s="15">
        <v>8</v>
      </c>
      <c r="K99" s="15">
        <v>80</v>
      </c>
    </row>
    <row r="100" spans="1:11" x14ac:dyDescent="0.35">
      <c r="A100" s="2" t="s">
        <v>84</v>
      </c>
      <c r="B100" s="13">
        <v>77841</v>
      </c>
      <c r="C100" s="13" t="s">
        <v>150</v>
      </c>
      <c r="D100" s="13" t="s">
        <v>285</v>
      </c>
      <c r="E100" s="21">
        <f>$B$103-Dealer_Operations_Table[[#This Row],[Days Down]]</f>
        <v>46152</v>
      </c>
      <c r="F100" s="14">
        <v>3</v>
      </c>
      <c r="G100" s="14">
        <v>2</v>
      </c>
      <c r="H100" s="12" t="s">
        <v>38</v>
      </c>
      <c r="I100" s="14">
        <v>86</v>
      </c>
      <c r="J100" s="15">
        <v>8</v>
      </c>
      <c r="K100" s="15">
        <v>80</v>
      </c>
    </row>
    <row r="101" spans="1:11" x14ac:dyDescent="0.35">
      <c r="A101" s="2" t="s">
        <v>81</v>
      </c>
      <c r="B101" s="13">
        <v>77841</v>
      </c>
      <c r="C101" s="13" t="s">
        <v>150</v>
      </c>
      <c r="D101" s="13" t="s">
        <v>285</v>
      </c>
      <c r="E101" s="21">
        <f>$B$103-Dealer_Operations_Table[[#This Row],[Days Down]]</f>
        <v>46153</v>
      </c>
      <c r="F101" s="14">
        <v>2</v>
      </c>
      <c r="G101" s="14">
        <v>0</v>
      </c>
      <c r="H101" s="12" t="s">
        <v>31</v>
      </c>
      <c r="I101" s="14">
        <v>86</v>
      </c>
      <c r="J101" s="15">
        <v>8</v>
      </c>
      <c r="K101" s="15">
        <v>80</v>
      </c>
    </row>
    <row r="103" spans="1:11" x14ac:dyDescent="0.35">
      <c r="A103" s="16" t="s">
        <v>151</v>
      </c>
      <c r="B103" s="20">
        <v>46155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E101"/>
  <sheetViews>
    <sheetView showGridLines="0" workbookViewId="0">
      <pane ySplit="1" topLeftCell="A2" activePane="bottomLeft" state="frozen"/>
      <selection pane="bottomLeft" activeCell="G84" sqref="G84"/>
    </sheetView>
  </sheetViews>
  <sheetFormatPr defaultRowHeight="14.5" x14ac:dyDescent="0.35"/>
  <cols>
    <col min="1" max="1" width="20" customWidth="1"/>
    <col min="2" max="2" width="18" style="16" customWidth="1"/>
    <col min="3" max="3" width="19" style="16" customWidth="1"/>
    <col min="4" max="5" width="15" style="16" customWidth="1"/>
  </cols>
  <sheetData>
    <row r="1" spans="1:5" x14ac:dyDescent="0.35">
      <c r="A1" s="1" t="s">
        <v>0</v>
      </c>
      <c r="B1" s="1" t="s">
        <v>11</v>
      </c>
      <c r="C1" s="1" t="s">
        <v>12</v>
      </c>
      <c r="D1" s="17" t="s">
        <v>152</v>
      </c>
      <c r="E1" s="1" t="s">
        <v>14</v>
      </c>
    </row>
    <row r="2" spans="1:5" x14ac:dyDescent="0.35">
      <c r="A2" s="2" t="s">
        <v>64</v>
      </c>
      <c r="B2" s="13">
        <v>3</v>
      </c>
      <c r="C2" s="13">
        <v>6</v>
      </c>
      <c r="D2" s="13">
        <v>7</v>
      </c>
      <c r="E2" s="13">
        <v>2</v>
      </c>
    </row>
    <row r="3" spans="1:5" x14ac:dyDescent="0.35">
      <c r="A3" s="2" t="s">
        <v>88</v>
      </c>
      <c r="B3" s="13">
        <v>8</v>
      </c>
      <c r="C3" s="13">
        <v>1</v>
      </c>
      <c r="D3" s="13">
        <v>8</v>
      </c>
      <c r="E3" s="13">
        <v>1</v>
      </c>
    </row>
    <row r="4" spans="1:5" x14ac:dyDescent="0.35">
      <c r="A4" s="2" t="s">
        <v>99</v>
      </c>
      <c r="B4" s="13">
        <v>5</v>
      </c>
      <c r="C4" s="13">
        <v>0</v>
      </c>
      <c r="D4" s="13">
        <v>7</v>
      </c>
      <c r="E4" s="13">
        <v>3</v>
      </c>
    </row>
    <row r="5" spans="1:5" x14ac:dyDescent="0.35">
      <c r="A5" s="2" t="s">
        <v>51</v>
      </c>
      <c r="B5" s="13">
        <v>6</v>
      </c>
      <c r="C5" s="13">
        <v>3</v>
      </c>
      <c r="D5" s="13">
        <v>8</v>
      </c>
      <c r="E5" s="13">
        <v>2</v>
      </c>
    </row>
    <row r="6" spans="1:5" x14ac:dyDescent="0.35">
      <c r="A6" s="2" t="s">
        <v>81</v>
      </c>
      <c r="B6" s="13">
        <v>4</v>
      </c>
      <c r="C6" s="13">
        <v>0</v>
      </c>
      <c r="D6" s="13">
        <v>2</v>
      </c>
      <c r="E6" s="13">
        <v>3</v>
      </c>
    </row>
    <row r="7" spans="1:5" x14ac:dyDescent="0.35">
      <c r="A7" s="2" t="s">
        <v>74</v>
      </c>
      <c r="B7" s="13">
        <v>2</v>
      </c>
      <c r="C7" s="13">
        <v>6</v>
      </c>
      <c r="D7" s="13">
        <v>6</v>
      </c>
      <c r="E7" s="13">
        <v>3</v>
      </c>
    </row>
    <row r="8" spans="1:5" x14ac:dyDescent="0.35">
      <c r="A8" s="2" t="s">
        <v>128</v>
      </c>
      <c r="B8" s="13">
        <v>7</v>
      </c>
      <c r="C8" s="13">
        <v>3</v>
      </c>
      <c r="D8" s="13">
        <v>4</v>
      </c>
      <c r="E8" s="13">
        <v>2</v>
      </c>
    </row>
    <row r="9" spans="1:5" x14ac:dyDescent="0.35">
      <c r="A9" s="2" t="s">
        <v>111</v>
      </c>
      <c r="B9" s="13">
        <v>9</v>
      </c>
      <c r="C9" s="13">
        <v>2</v>
      </c>
      <c r="D9" s="13">
        <v>7</v>
      </c>
      <c r="E9" s="13">
        <v>0</v>
      </c>
    </row>
    <row r="10" spans="1:5" x14ac:dyDescent="0.35">
      <c r="A10" s="2" t="s">
        <v>121</v>
      </c>
      <c r="B10" s="13">
        <v>6</v>
      </c>
      <c r="C10" s="13">
        <v>2</v>
      </c>
      <c r="D10" s="13">
        <v>5</v>
      </c>
      <c r="E10" s="13">
        <v>4</v>
      </c>
    </row>
    <row r="11" spans="1:5" x14ac:dyDescent="0.35">
      <c r="A11" s="2" t="s">
        <v>52</v>
      </c>
      <c r="B11" s="13">
        <v>10</v>
      </c>
      <c r="C11" s="13">
        <v>2</v>
      </c>
      <c r="D11" s="13">
        <v>10</v>
      </c>
      <c r="E11" s="13">
        <v>4</v>
      </c>
    </row>
    <row r="12" spans="1:5" x14ac:dyDescent="0.35">
      <c r="A12" s="2" t="s">
        <v>63</v>
      </c>
      <c r="B12" s="13">
        <v>10</v>
      </c>
      <c r="C12" s="13">
        <v>3</v>
      </c>
      <c r="D12" s="13">
        <v>1</v>
      </c>
      <c r="E12" s="13">
        <v>2</v>
      </c>
    </row>
    <row r="13" spans="1:5" x14ac:dyDescent="0.35">
      <c r="A13" s="2" t="s">
        <v>28</v>
      </c>
      <c r="B13" s="13">
        <v>8</v>
      </c>
      <c r="C13" s="13">
        <v>5</v>
      </c>
      <c r="D13" s="13">
        <v>5</v>
      </c>
      <c r="E13" s="13">
        <v>4</v>
      </c>
    </row>
    <row r="14" spans="1:5" x14ac:dyDescent="0.35">
      <c r="A14" s="2" t="s">
        <v>72</v>
      </c>
      <c r="B14" s="13">
        <v>6</v>
      </c>
      <c r="C14" s="13">
        <v>1</v>
      </c>
      <c r="D14" s="13">
        <v>4</v>
      </c>
      <c r="E14" s="13">
        <v>3</v>
      </c>
    </row>
    <row r="15" spans="1:5" x14ac:dyDescent="0.35">
      <c r="A15" s="2" t="s">
        <v>47</v>
      </c>
      <c r="B15" s="13">
        <v>10</v>
      </c>
      <c r="C15" s="13">
        <v>4</v>
      </c>
      <c r="D15" s="13">
        <v>9</v>
      </c>
      <c r="E15" s="13">
        <v>1</v>
      </c>
    </row>
    <row r="16" spans="1:5" x14ac:dyDescent="0.35">
      <c r="A16" s="2" t="s">
        <v>122</v>
      </c>
      <c r="B16" s="13">
        <v>1</v>
      </c>
      <c r="C16" s="13">
        <v>1</v>
      </c>
      <c r="D16" s="13">
        <v>3</v>
      </c>
      <c r="E16" s="13">
        <v>3</v>
      </c>
    </row>
    <row r="17" spans="1:5" x14ac:dyDescent="0.35">
      <c r="A17" s="2" t="s">
        <v>69</v>
      </c>
      <c r="B17" s="13">
        <v>0</v>
      </c>
      <c r="C17" s="13">
        <v>4</v>
      </c>
      <c r="D17" s="13">
        <v>9</v>
      </c>
      <c r="E17" s="13">
        <v>0</v>
      </c>
    </row>
    <row r="18" spans="1:5" x14ac:dyDescent="0.35">
      <c r="A18" s="2" t="s">
        <v>92</v>
      </c>
      <c r="B18" s="13">
        <v>7</v>
      </c>
      <c r="C18" s="13">
        <v>1</v>
      </c>
      <c r="D18" s="13">
        <v>11</v>
      </c>
      <c r="E18" s="13">
        <v>1</v>
      </c>
    </row>
    <row r="19" spans="1:5" x14ac:dyDescent="0.35">
      <c r="A19" s="2" t="s">
        <v>106</v>
      </c>
      <c r="B19" s="13">
        <v>6</v>
      </c>
      <c r="C19" s="13">
        <v>5</v>
      </c>
      <c r="D19" s="13">
        <v>4</v>
      </c>
      <c r="E19" s="13">
        <v>0</v>
      </c>
    </row>
    <row r="20" spans="1:5" x14ac:dyDescent="0.35">
      <c r="A20" s="2" t="s">
        <v>108</v>
      </c>
      <c r="B20" s="13">
        <v>8</v>
      </c>
      <c r="C20" s="13">
        <v>3</v>
      </c>
      <c r="D20" s="13">
        <v>10</v>
      </c>
      <c r="E20" s="13">
        <v>4</v>
      </c>
    </row>
    <row r="21" spans="1:5" x14ac:dyDescent="0.35">
      <c r="A21" s="2" t="s">
        <v>101</v>
      </c>
      <c r="B21" s="13">
        <v>5</v>
      </c>
      <c r="C21" s="13">
        <v>5</v>
      </c>
      <c r="D21" s="13">
        <v>3</v>
      </c>
      <c r="E21" s="13">
        <v>3</v>
      </c>
    </row>
    <row r="22" spans="1:5" x14ac:dyDescent="0.35">
      <c r="A22" s="2" t="s">
        <v>129</v>
      </c>
      <c r="B22" s="13">
        <v>4</v>
      </c>
      <c r="C22" s="13">
        <v>6</v>
      </c>
      <c r="D22" s="13">
        <v>2</v>
      </c>
      <c r="E22" s="13">
        <v>3</v>
      </c>
    </row>
    <row r="23" spans="1:5" x14ac:dyDescent="0.35">
      <c r="A23" s="2" t="s">
        <v>32</v>
      </c>
      <c r="B23" s="13">
        <v>3</v>
      </c>
      <c r="C23" s="13">
        <v>7</v>
      </c>
      <c r="D23" s="13">
        <v>10</v>
      </c>
      <c r="E23" s="13">
        <v>2</v>
      </c>
    </row>
    <row r="24" spans="1:5" x14ac:dyDescent="0.35">
      <c r="A24" s="2" t="s">
        <v>76</v>
      </c>
      <c r="B24" s="13">
        <v>0</v>
      </c>
      <c r="C24" s="13">
        <v>2</v>
      </c>
      <c r="D24" s="13">
        <v>7</v>
      </c>
      <c r="E24" s="13">
        <v>0</v>
      </c>
    </row>
    <row r="25" spans="1:5" x14ac:dyDescent="0.35">
      <c r="A25" s="2" t="s">
        <v>130</v>
      </c>
      <c r="B25" s="13">
        <v>7</v>
      </c>
      <c r="C25" s="13">
        <v>3</v>
      </c>
      <c r="D25" s="13">
        <v>10</v>
      </c>
      <c r="E25" s="13">
        <v>0</v>
      </c>
    </row>
    <row r="26" spans="1:5" x14ac:dyDescent="0.35">
      <c r="A26" s="2" t="s">
        <v>42</v>
      </c>
      <c r="B26" s="13">
        <v>4</v>
      </c>
      <c r="C26" s="13">
        <v>6</v>
      </c>
      <c r="D26" s="13">
        <v>5</v>
      </c>
      <c r="E26" s="13">
        <v>3</v>
      </c>
    </row>
    <row r="27" spans="1:5" x14ac:dyDescent="0.35">
      <c r="A27" s="2" t="s">
        <v>112</v>
      </c>
      <c r="B27" s="13">
        <v>0</v>
      </c>
      <c r="C27" s="13">
        <v>5</v>
      </c>
      <c r="D27" s="13">
        <v>10</v>
      </c>
      <c r="E27" s="13">
        <v>1</v>
      </c>
    </row>
    <row r="28" spans="1:5" x14ac:dyDescent="0.35">
      <c r="A28" s="2" t="s">
        <v>37</v>
      </c>
      <c r="B28" s="13">
        <v>8</v>
      </c>
      <c r="C28" s="13">
        <v>5</v>
      </c>
      <c r="D28" s="13">
        <v>7</v>
      </c>
      <c r="E28" s="13">
        <v>2</v>
      </c>
    </row>
    <row r="29" spans="1:5" x14ac:dyDescent="0.35">
      <c r="A29" s="2" t="s">
        <v>94</v>
      </c>
      <c r="B29" s="13">
        <v>10</v>
      </c>
      <c r="C29" s="13">
        <v>0</v>
      </c>
      <c r="D29" s="13">
        <v>8</v>
      </c>
      <c r="E29" s="13">
        <v>4</v>
      </c>
    </row>
    <row r="30" spans="1:5" x14ac:dyDescent="0.35">
      <c r="A30" s="2" t="s">
        <v>102</v>
      </c>
      <c r="B30" s="13">
        <v>5</v>
      </c>
      <c r="C30" s="13">
        <v>7</v>
      </c>
      <c r="D30" s="13">
        <v>9</v>
      </c>
      <c r="E30" s="13">
        <v>2</v>
      </c>
    </row>
    <row r="31" spans="1:5" x14ac:dyDescent="0.35">
      <c r="A31" s="2" t="s">
        <v>66</v>
      </c>
      <c r="B31" s="13">
        <v>0</v>
      </c>
      <c r="C31" s="13">
        <v>6</v>
      </c>
      <c r="D31" s="13">
        <v>11</v>
      </c>
      <c r="E31" s="13">
        <v>3</v>
      </c>
    </row>
    <row r="32" spans="1:5" x14ac:dyDescent="0.35">
      <c r="A32" s="2" t="s">
        <v>118</v>
      </c>
      <c r="B32" s="13">
        <v>7</v>
      </c>
      <c r="C32" s="13">
        <v>0</v>
      </c>
      <c r="D32" s="13">
        <v>11</v>
      </c>
      <c r="E32" s="13">
        <v>1</v>
      </c>
    </row>
    <row r="33" spans="1:5" x14ac:dyDescent="0.35">
      <c r="A33" s="2" t="s">
        <v>62</v>
      </c>
      <c r="B33" s="13">
        <v>10</v>
      </c>
      <c r="C33" s="13">
        <v>2</v>
      </c>
      <c r="D33" s="13">
        <v>10</v>
      </c>
      <c r="E33" s="13">
        <v>1</v>
      </c>
    </row>
    <row r="34" spans="1:5" x14ac:dyDescent="0.35">
      <c r="A34" s="2" t="s">
        <v>93</v>
      </c>
      <c r="B34" s="13">
        <v>5</v>
      </c>
      <c r="C34" s="13">
        <v>4</v>
      </c>
      <c r="D34" s="13">
        <v>7</v>
      </c>
      <c r="E34" s="13">
        <v>4</v>
      </c>
    </row>
    <row r="35" spans="1:5" x14ac:dyDescent="0.35">
      <c r="A35" s="2" t="s">
        <v>85</v>
      </c>
      <c r="B35" s="13">
        <v>1</v>
      </c>
      <c r="C35" s="13">
        <v>0</v>
      </c>
      <c r="D35" s="13">
        <v>5</v>
      </c>
      <c r="E35" s="13">
        <v>3</v>
      </c>
    </row>
    <row r="36" spans="1:5" x14ac:dyDescent="0.35">
      <c r="A36" s="2" t="s">
        <v>46</v>
      </c>
      <c r="B36" s="13">
        <v>5</v>
      </c>
      <c r="C36" s="13">
        <v>7</v>
      </c>
      <c r="D36" s="13">
        <v>7</v>
      </c>
      <c r="E36" s="13">
        <v>3</v>
      </c>
    </row>
    <row r="37" spans="1:5" x14ac:dyDescent="0.35">
      <c r="A37" s="2" t="s">
        <v>33</v>
      </c>
      <c r="B37" s="13">
        <v>9</v>
      </c>
      <c r="C37" s="13">
        <v>4</v>
      </c>
      <c r="D37" s="13">
        <v>5</v>
      </c>
      <c r="E37" s="13">
        <v>1</v>
      </c>
    </row>
    <row r="38" spans="1:5" x14ac:dyDescent="0.35">
      <c r="A38" s="2" t="s">
        <v>100</v>
      </c>
      <c r="B38" s="13">
        <v>4</v>
      </c>
      <c r="C38" s="13">
        <v>5</v>
      </c>
      <c r="D38" s="13">
        <v>6</v>
      </c>
      <c r="E38" s="13">
        <v>1</v>
      </c>
    </row>
    <row r="39" spans="1:5" x14ac:dyDescent="0.35">
      <c r="A39" s="2" t="s">
        <v>126</v>
      </c>
      <c r="B39" s="13">
        <v>1</v>
      </c>
      <c r="C39" s="13">
        <v>4</v>
      </c>
      <c r="D39" s="13">
        <v>8</v>
      </c>
      <c r="E39" s="13">
        <v>1</v>
      </c>
    </row>
    <row r="40" spans="1:5" x14ac:dyDescent="0.35">
      <c r="A40" s="2" t="s">
        <v>57</v>
      </c>
      <c r="B40" s="13">
        <v>9</v>
      </c>
      <c r="C40" s="13">
        <v>4</v>
      </c>
      <c r="D40" s="13">
        <v>5</v>
      </c>
      <c r="E40" s="13">
        <v>0</v>
      </c>
    </row>
    <row r="41" spans="1:5" x14ac:dyDescent="0.35">
      <c r="A41" s="2" t="s">
        <v>125</v>
      </c>
      <c r="B41" s="13">
        <v>6</v>
      </c>
      <c r="C41" s="13">
        <v>5</v>
      </c>
      <c r="D41" s="13">
        <v>1</v>
      </c>
      <c r="E41" s="13">
        <v>0</v>
      </c>
    </row>
    <row r="42" spans="1:5" x14ac:dyDescent="0.35">
      <c r="A42" s="2" t="s">
        <v>80</v>
      </c>
      <c r="B42" s="13">
        <v>10</v>
      </c>
      <c r="C42" s="13">
        <v>0</v>
      </c>
      <c r="D42" s="13">
        <v>6</v>
      </c>
      <c r="E42" s="13">
        <v>4</v>
      </c>
    </row>
    <row r="43" spans="1:5" x14ac:dyDescent="0.35">
      <c r="A43" s="2" t="s">
        <v>103</v>
      </c>
      <c r="B43" s="13">
        <v>5</v>
      </c>
      <c r="C43" s="13">
        <v>4</v>
      </c>
      <c r="D43" s="13">
        <v>3</v>
      </c>
      <c r="E43" s="13">
        <v>4</v>
      </c>
    </row>
    <row r="44" spans="1:5" x14ac:dyDescent="0.35">
      <c r="A44" s="2" t="s">
        <v>35</v>
      </c>
      <c r="B44" s="13">
        <v>6</v>
      </c>
      <c r="C44" s="13">
        <v>7</v>
      </c>
      <c r="D44" s="13">
        <v>6</v>
      </c>
      <c r="E44" s="13">
        <v>0</v>
      </c>
    </row>
    <row r="45" spans="1:5" x14ac:dyDescent="0.35">
      <c r="A45" s="2" t="s">
        <v>56</v>
      </c>
      <c r="B45" s="13">
        <v>8</v>
      </c>
      <c r="C45" s="13">
        <v>2</v>
      </c>
      <c r="D45" s="13">
        <v>5</v>
      </c>
      <c r="E45" s="13">
        <v>0</v>
      </c>
    </row>
    <row r="46" spans="1:5" x14ac:dyDescent="0.35">
      <c r="A46" s="2" t="s">
        <v>79</v>
      </c>
      <c r="B46" s="13">
        <v>5</v>
      </c>
      <c r="C46" s="13">
        <v>0</v>
      </c>
      <c r="D46" s="13">
        <v>6</v>
      </c>
      <c r="E46" s="13">
        <v>0</v>
      </c>
    </row>
    <row r="47" spans="1:5" x14ac:dyDescent="0.35">
      <c r="A47" s="2" t="s">
        <v>45</v>
      </c>
      <c r="B47" s="13">
        <v>9</v>
      </c>
      <c r="C47" s="13">
        <v>6</v>
      </c>
      <c r="D47" s="13">
        <v>2</v>
      </c>
      <c r="E47" s="13">
        <v>1</v>
      </c>
    </row>
    <row r="48" spans="1:5" x14ac:dyDescent="0.35">
      <c r="A48" s="2" t="s">
        <v>54</v>
      </c>
      <c r="B48" s="13">
        <v>4</v>
      </c>
      <c r="C48" s="13">
        <v>3</v>
      </c>
      <c r="D48" s="13">
        <v>8</v>
      </c>
      <c r="E48" s="13">
        <v>3</v>
      </c>
    </row>
    <row r="49" spans="1:5" x14ac:dyDescent="0.35">
      <c r="A49" s="2" t="s">
        <v>123</v>
      </c>
      <c r="B49" s="13">
        <v>6</v>
      </c>
      <c r="C49" s="13">
        <v>3</v>
      </c>
      <c r="D49" s="13">
        <v>5</v>
      </c>
      <c r="E49" s="13">
        <v>1</v>
      </c>
    </row>
    <row r="50" spans="1:5" x14ac:dyDescent="0.35">
      <c r="A50" s="2" t="s">
        <v>83</v>
      </c>
      <c r="B50" s="13">
        <v>0</v>
      </c>
      <c r="C50" s="13">
        <v>1</v>
      </c>
      <c r="D50" s="13">
        <v>5</v>
      </c>
      <c r="E50" s="13">
        <v>0</v>
      </c>
    </row>
    <row r="51" spans="1:5" x14ac:dyDescent="0.35">
      <c r="A51" s="2" t="s">
        <v>115</v>
      </c>
      <c r="B51" s="13">
        <v>6</v>
      </c>
      <c r="C51" s="13">
        <v>0</v>
      </c>
      <c r="D51" s="13">
        <v>5</v>
      </c>
      <c r="E51" s="13">
        <v>0</v>
      </c>
    </row>
    <row r="52" spans="1:5" x14ac:dyDescent="0.35">
      <c r="A52" s="2" t="s">
        <v>68</v>
      </c>
      <c r="B52" s="13">
        <v>2</v>
      </c>
      <c r="C52" s="13">
        <v>7</v>
      </c>
      <c r="D52" s="13">
        <v>3</v>
      </c>
      <c r="E52" s="13">
        <v>0</v>
      </c>
    </row>
    <row r="53" spans="1:5" x14ac:dyDescent="0.35">
      <c r="A53" s="2" t="s">
        <v>43</v>
      </c>
      <c r="B53" s="13">
        <v>10</v>
      </c>
      <c r="C53" s="13">
        <v>6</v>
      </c>
      <c r="D53" s="13">
        <v>9</v>
      </c>
      <c r="E53" s="13">
        <v>3</v>
      </c>
    </row>
    <row r="54" spans="1:5" x14ac:dyDescent="0.35">
      <c r="A54" s="2" t="s">
        <v>82</v>
      </c>
      <c r="B54" s="13">
        <v>3</v>
      </c>
      <c r="C54" s="13">
        <v>0</v>
      </c>
      <c r="D54" s="13">
        <v>8</v>
      </c>
      <c r="E54" s="13">
        <v>0</v>
      </c>
    </row>
    <row r="55" spans="1:5" x14ac:dyDescent="0.35">
      <c r="A55" s="2" t="s">
        <v>119</v>
      </c>
      <c r="B55" s="13">
        <v>1</v>
      </c>
      <c r="C55" s="13">
        <v>3</v>
      </c>
      <c r="D55" s="13">
        <v>7</v>
      </c>
      <c r="E55" s="13">
        <v>1</v>
      </c>
    </row>
    <row r="56" spans="1:5" x14ac:dyDescent="0.35">
      <c r="A56" s="2" t="s">
        <v>60</v>
      </c>
      <c r="B56" s="13">
        <v>6</v>
      </c>
      <c r="C56" s="13">
        <v>6</v>
      </c>
      <c r="D56" s="13">
        <v>7</v>
      </c>
      <c r="E56" s="13">
        <v>4</v>
      </c>
    </row>
    <row r="57" spans="1:5" x14ac:dyDescent="0.35">
      <c r="A57" s="2" t="s">
        <v>39</v>
      </c>
      <c r="B57" s="13">
        <v>7</v>
      </c>
      <c r="C57" s="13">
        <v>7</v>
      </c>
      <c r="D57" s="13">
        <v>9</v>
      </c>
      <c r="E57" s="13">
        <v>1</v>
      </c>
    </row>
    <row r="58" spans="1:5" x14ac:dyDescent="0.35">
      <c r="A58" s="2" t="s">
        <v>70</v>
      </c>
      <c r="B58" s="13">
        <v>0</v>
      </c>
      <c r="C58" s="13">
        <v>6</v>
      </c>
      <c r="D58" s="13">
        <v>1</v>
      </c>
      <c r="E58" s="13">
        <v>0</v>
      </c>
    </row>
    <row r="59" spans="1:5" x14ac:dyDescent="0.35">
      <c r="A59" s="2" t="s">
        <v>113</v>
      </c>
      <c r="B59" s="13">
        <v>0</v>
      </c>
      <c r="C59" s="13">
        <v>4</v>
      </c>
      <c r="D59" s="13">
        <v>7</v>
      </c>
      <c r="E59" s="13">
        <v>0</v>
      </c>
    </row>
    <row r="60" spans="1:5" x14ac:dyDescent="0.35">
      <c r="A60" s="2" t="s">
        <v>96</v>
      </c>
      <c r="B60" s="13">
        <v>4</v>
      </c>
      <c r="C60" s="13">
        <v>3</v>
      </c>
      <c r="D60" s="13">
        <v>3</v>
      </c>
      <c r="E60" s="13">
        <v>3</v>
      </c>
    </row>
    <row r="61" spans="1:5" x14ac:dyDescent="0.35">
      <c r="A61" s="2" t="s">
        <v>91</v>
      </c>
      <c r="B61" s="13">
        <v>7</v>
      </c>
      <c r="C61" s="13">
        <v>0</v>
      </c>
      <c r="D61" s="13">
        <v>7</v>
      </c>
      <c r="E61" s="13">
        <v>1</v>
      </c>
    </row>
    <row r="62" spans="1:5" x14ac:dyDescent="0.35">
      <c r="A62" s="2" t="s">
        <v>127</v>
      </c>
      <c r="B62" s="13">
        <v>0</v>
      </c>
      <c r="C62" s="13">
        <v>6</v>
      </c>
      <c r="D62" s="13">
        <v>9</v>
      </c>
      <c r="E62" s="13">
        <v>3</v>
      </c>
    </row>
    <row r="63" spans="1:5" x14ac:dyDescent="0.35">
      <c r="A63" s="2" t="s">
        <v>110</v>
      </c>
      <c r="B63" s="13">
        <v>2</v>
      </c>
      <c r="C63" s="13">
        <v>2</v>
      </c>
      <c r="D63" s="13">
        <v>5</v>
      </c>
      <c r="E63" s="13">
        <v>1</v>
      </c>
    </row>
    <row r="64" spans="1:5" x14ac:dyDescent="0.35">
      <c r="A64" s="2" t="s">
        <v>40</v>
      </c>
      <c r="B64" s="13">
        <v>9</v>
      </c>
      <c r="C64" s="13">
        <v>6</v>
      </c>
      <c r="D64" s="13">
        <v>8</v>
      </c>
      <c r="E64" s="13">
        <v>4</v>
      </c>
    </row>
    <row r="65" spans="1:5" x14ac:dyDescent="0.35">
      <c r="A65" s="2" t="s">
        <v>71</v>
      </c>
      <c r="B65" s="13">
        <v>6</v>
      </c>
      <c r="C65" s="13">
        <v>7</v>
      </c>
      <c r="D65" s="13">
        <v>9</v>
      </c>
      <c r="E65" s="13">
        <v>1</v>
      </c>
    </row>
    <row r="66" spans="1:5" x14ac:dyDescent="0.35">
      <c r="A66" s="2" t="s">
        <v>116</v>
      </c>
      <c r="B66" s="13">
        <v>1</v>
      </c>
      <c r="C66" s="13">
        <v>1</v>
      </c>
      <c r="D66" s="13">
        <v>11</v>
      </c>
      <c r="E66" s="13">
        <v>1</v>
      </c>
    </row>
    <row r="67" spans="1:5" x14ac:dyDescent="0.35">
      <c r="A67" s="2" t="s">
        <v>77</v>
      </c>
      <c r="B67" s="13">
        <v>2</v>
      </c>
      <c r="C67" s="13">
        <v>6</v>
      </c>
      <c r="D67" s="13">
        <v>4</v>
      </c>
      <c r="E67" s="13">
        <v>4</v>
      </c>
    </row>
    <row r="68" spans="1:5" x14ac:dyDescent="0.35">
      <c r="A68" s="2" t="s">
        <v>58</v>
      </c>
      <c r="B68" s="13">
        <v>2</v>
      </c>
      <c r="C68" s="13">
        <v>3</v>
      </c>
      <c r="D68" s="13">
        <v>4</v>
      </c>
      <c r="E68" s="13">
        <v>1</v>
      </c>
    </row>
    <row r="69" spans="1:5" x14ac:dyDescent="0.35">
      <c r="A69" s="2" t="s">
        <v>59</v>
      </c>
      <c r="B69" s="13">
        <v>8</v>
      </c>
      <c r="C69" s="13">
        <v>2</v>
      </c>
      <c r="D69" s="13">
        <v>5</v>
      </c>
      <c r="E69" s="13">
        <v>3</v>
      </c>
    </row>
    <row r="70" spans="1:5" x14ac:dyDescent="0.35">
      <c r="A70" s="2" t="s">
        <v>41</v>
      </c>
      <c r="B70" s="13">
        <v>9</v>
      </c>
      <c r="C70" s="13">
        <v>3</v>
      </c>
      <c r="D70" s="13">
        <v>1</v>
      </c>
      <c r="E70" s="13">
        <v>3</v>
      </c>
    </row>
    <row r="71" spans="1:5" x14ac:dyDescent="0.35">
      <c r="A71" s="2" t="s">
        <v>53</v>
      </c>
      <c r="B71" s="13">
        <v>10</v>
      </c>
      <c r="C71" s="13">
        <v>1</v>
      </c>
      <c r="D71" s="13">
        <v>3</v>
      </c>
      <c r="E71" s="13">
        <v>2</v>
      </c>
    </row>
    <row r="72" spans="1:5" x14ac:dyDescent="0.35">
      <c r="A72" s="2" t="s">
        <v>48</v>
      </c>
      <c r="B72" s="13">
        <v>7</v>
      </c>
      <c r="C72" s="13">
        <v>7</v>
      </c>
      <c r="D72" s="13">
        <v>11</v>
      </c>
      <c r="E72" s="13">
        <v>1</v>
      </c>
    </row>
    <row r="73" spans="1:5" x14ac:dyDescent="0.35">
      <c r="A73" s="2" t="s">
        <v>97</v>
      </c>
      <c r="B73" s="13">
        <v>2</v>
      </c>
      <c r="C73" s="13">
        <v>2</v>
      </c>
      <c r="D73" s="13">
        <v>9</v>
      </c>
      <c r="E73" s="13">
        <v>3</v>
      </c>
    </row>
    <row r="74" spans="1:5" x14ac:dyDescent="0.35">
      <c r="A74" s="2" t="s">
        <v>105</v>
      </c>
      <c r="B74" s="13">
        <v>4</v>
      </c>
      <c r="C74" s="13">
        <v>5</v>
      </c>
      <c r="D74" s="13">
        <v>9</v>
      </c>
      <c r="E74" s="13">
        <v>1</v>
      </c>
    </row>
    <row r="75" spans="1:5" x14ac:dyDescent="0.35">
      <c r="A75" s="2" t="s">
        <v>90</v>
      </c>
      <c r="B75" s="13">
        <v>7</v>
      </c>
      <c r="C75" s="13">
        <v>4</v>
      </c>
      <c r="D75" s="13">
        <v>3</v>
      </c>
      <c r="E75" s="13">
        <v>0</v>
      </c>
    </row>
    <row r="76" spans="1:5" x14ac:dyDescent="0.35">
      <c r="A76" s="2" t="s">
        <v>87</v>
      </c>
      <c r="B76" s="13">
        <v>7</v>
      </c>
      <c r="C76" s="13">
        <v>4</v>
      </c>
      <c r="D76" s="13">
        <v>6</v>
      </c>
      <c r="E76" s="13">
        <v>3</v>
      </c>
    </row>
    <row r="77" spans="1:5" x14ac:dyDescent="0.35">
      <c r="A77" s="2" t="s">
        <v>104</v>
      </c>
      <c r="B77" s="13">
        <v>9</v>
      </c>
      <c r="C77" s="13">
        <v>2</v>
      </c>
      <c r="D77" s="13">
        <v>7</v>
      </c>
      <c r="E77" s="13">
        <v>0</v>
      </c>
    </row>
    <row r="78" spans="1:5" x14ac:dyDescent="0.35">
      <c r="A78" s="2" t="s">
        <v>120</v>
      </c>
      <c r="B78" s="13">
        <v>1</v>
      </c>
      <c r="C78" s="13">
        <v>1</v>
      </c>
      <c r="D78" s="13">
        <v>9</v>
      </c>
      <c r="E78" s="13">
        <v>4</v>
      </c>
    </row>
    <row r="79" spans="1:5" x14ac:dyDescent="0.35">
      <c r="A79" s="2" t="s">
        <v>84</v>
      </c>
      <c r="B79" s="13">
        <v>0</v>
      </c>
      <c r="C79" s="13">
        <v>1</v>
      </c>
      <c r="D79" s="13">
        <v>1</v>
      </c>
      <c r="E79" s="13">
        <v>1</v>
      </c>
    </row>
    <row r="80" spans="1:5" x14ac:dyDescent="0.35">
      <c r="A80" s="2" t="s">
        <v>75</v>
      </c>
      <c r="B80" s="13">
        <v>1</v>
      </c>
      <c r="C80" s="13">
        <v>5</v>
      </c>
      <c r="D80" s="13">
        <v>8</v>
      </c>
      <c r="E80" s="13">
        <v>4</v>
      </c>
    </row>
    <row r="81" spans="1:5" x14ac:dyDescent="0.35">
      <c r="A81" s="2" t="s">
        <v>67</v>
      </c>
      <c r="B81" s="13">
        <v>8</v>
      </c>
      <c r="C81" s="13">
        <v>4</v>
      </c>
      <c r="D81" s="13">
        <v>4</v>
      </c>
      <c r="E81" s="13">
        <v>0</v>
      </c>
    </row>
    <row r="82" spans="1:5" x14ac:dyDescent="0.35">
      <c r="A82" s="2" t="s">
        <v>117</v>
      </c>
      <c r="B82" s="13">
        <v>7</v>
      </c>
      <c r="C82" s="13">
        <v>1</v>
      </c>
      <c r="D82" s="13">
        <v>8</v>
      </c>
      <c r="E82" s="13">
        <v>0</v>
      </c>
    </row>
    <row r="83" spans="1:5" x14ac:dyDescent="0.35">
      <c r="A83" s="2" t="s">
        <v>34</v>
      </c>
      <c r="B83" s="13">
        <v>10</v>
      </c>
      <c r="C83" s="13">
        <v>2</v>
      </c>
      <c r="D83" s="13">
        <v>9</v>
      </c>
      <c r="E83" s="13">
        <v>1</v>
      </c>
    </row>
    <row r="84" spans="1:5" x14ac:dyDescent="0.35">
      <c r="A84" s="2" t="s">
        <v>50</v>
      </c>
      <c r="B84" s="13">
        <v>4</v>
      </c>
      <c r="C84" s="13">
        <v>5</v>
      </c>
      <c r="D84" s="13">
        <v>6</v>
      </c>
      <c r="E84" s="13">
        <v>1</v>
      </c>
    </row>
    <row r="85" spans="1:5" x14ac:dyDescent="0.35">
      <c r="A85" s="2" t="s">
        <v>36</v>
      </c>
      <c r="B85" s="13">
        <v>10</v>
      </c>
      <c r="C85" s="13">
        <v>1</v>
      </c>
      <c r="D85" s="13">
        <v>6</v>
      </c>
      <c r="E85" s="13">
        <v>2</v>
      </c>
    </row>
    <row r="86" spans="1:5" x14ac:dyDescent="0.35">
      <c r="A86" s="2" t="s">
        <v>65</v>
      </c>
      <c r="B86" s="13">
        <v>6</v>
      </c>
      <c r="C86" s="13">
        <v>7</v>
      </c>
      <c r="D86" s="13">
        <v>1</v>
      </c>
      <c r="E86" s="13">
        <v>1</v>
      </c>
    </row>
    <row r="87" spans="1:5" x14ac:dyDescent="0.35">
      <c r="A87" s="2" t="s">
        <v>114</v>
      </c>
      <c r="B87" s="13">
        <v>1</v>
      </c>
      <c r="C87" s="13">
        <v>6</v>
      </c>
      <c r="D87" s="13">
        <v>7</v>
      </c>
      <c r="E87" s="13">
        <v>3</v>
      </c>
    </row>
    <row r="88" spans="1:5" x14ac:dyDescent="0.35">
      <c r="A88" s="2" t="s">
        <v>107</v>
      </c>
      <c r="B88" s="13">
        <v>4</v>
      </c>
      <c r="C88" s="13">
        <v>1</v>
      </c>
      <c r="D88" s="13">
        <v>5</v>
      </c>
      <c r="E88" s="13">
        <v>3</v>
      </c>
    </row>
    <row r="89" spans="1:5" x14ac:dyDescent="0.35">
      <c r="A89" s="2" t="s">
        <v>95</v>
      </c>
      <c r="B89" s="13">
        <v>8</v>
      </c>
      <c r="C89" s="13">
        <v>2</v>
      </c>
      <c r="D89" s="13">
        <v>2</v>
      </c>
      <c r="E89" s="13">
        <v>0</v>
      </c>
    </row>
    <row r="90" spans="1:5" x14ac:dyDescent="0.35">
      <c r="A90" s="2" t="s">
        <v>78</v>
      </c>
      <c r="B90" s="13">
        <v>7</v>
      </c>
      <c r="C90" s="13">
        <v>0</v>
      </c>
      <c r="D90" s="13">
        <v>11</v>
      </c>
      <c r="E90" s="13">
        <v>3</v>
      </c>
    </row>
    <row r="91" spans="1:5" x14ac:dyDescent="0.35">
      <c r="A91" s="2" t="s">
        <v>109</v>
      </c>
      <c r="B91" s="13">
        <v>3</v>
      </c>
      <c r="C91" s="13">
        <v>6</v>
      </c>
      <c r="D91" s="13">
        <v>11</v>
      </c>
      <c r="E91" s="13">
        <v>2</v>
      </c>
    </row>
    <row r="92" spans="1:5" x14ac:dyDescent="0.35">
      <c r="A92" s="2" t="s">
        <v>73</v>
      </c>
      <c r="B92" s="13">
        <v>3</v>
      </c>
      <c r="C92" s="13">
        <v>5</v>
      </c>
      <c r="D92" s="13">
        <v>9</v>
      </c>
      <c r="E92" s="13">
        <v>4</v>
      </c>
    </row>
    <row r="93" spans="1:5" x14ac:dyDescent="0.35">
      <c r="A93" s="2" t="s">
        <v>49</v>
      </c>
      <c r="B93" s="13">
        <v>6</v>
      </c>
      <c r="C93" s="13">
        <v>6</v>
      </c>
      <c r="D93" s="13">
        <v>4</v>
      </c>
      <c r="E93" s="13">
        <v>4</v>
      </c>
    </row>
    <row r="94" spans="1:5" x14ac:dyDescent="0.35">
      <c r="A94" s="2" t="s">
        <v>98</v>
      </c>
      <c r="B94" s="13">
        <v>4</v>
      </c>
      <c r="C94" s="13">
        <v>7</v>
      </c>
      <c r="D94" s="13">
        <v>10</v>
      </c>
      <c r="E94" s="13">
        <v>3</v>
      </c>
    </row>
    <row r="95" spans="1:5" x14ac:dyDescent="0.35">
      <c r="A95" s="2" t="s">
        <v>30</v>
      </c>
      <c r="B95" s="13">
        <v>9</v>
      </c>
      <c r="C95" s="13">
        <v>5</v>
      </c>
      <c r="D95" s="13">
        <v>6</v>
      </c>
      <c r="E95" s="13">
        <v>0</v>
      </c>
    </row>
    <row r="96" spans="1:5" x14ac:dyDescent="0.35">
      <c r="A96" s="2" t="s">
        <v>124</v>
      </c>
      <c r="B96" s="13">
        <v>5</v>
      </c>
      <c r="C96" s="13">
        <v>6</v>
      </c>
      <c r="D96" s="13">
        <v>5</v>
      </c>
      <c r="E96" s="13">
        <v>1</v>
      </c>
    </row>
    <row r="97" spans="1:5" x14ac:dyDescent="0.35">
      <c r="A97" s="2" t="s">
        <v>86</v>
      </c>
      <c r="B97" s="13">
        <v>7</v>
      </c>
      <c r="C97" s="13">
        <v>0</v>
      </c>
      <c r="D97" s="13">
        <v>8</v>
      </c>
      <c r="E97" s="13">
        <v>2</v>
      </c>
    </row>
    <row r="98" spans="1:5" x14ac:dyDescent="0.35">
      <c r="A98" s="2" t="s">
        <v>44</v>
      </c>
      <c r="B98" s="13">
        <v>9</v>
      </c>
      <c r="C98" s="13">
        <v>3</v>
      </c>
      <c r="D98" s="13">
        <v>4</v>
      </c>
      <c r="E98" s="13">
        <v>1</v>
      </c>
    </row>
    <row r="99" spans="1:5" x14ac:dyDescent="0.35">
      <c r="A99" s="2" t="s">
        <v>61</v>
      </c>
      <c r="B99" s="13">
        <v>10</v>
      </c>
      <c r="C99" s="13">
        <v>2</v>
      </c>
      <c r="D99" s="13">
        <v>11</v>
      </c>
      <c r="E99" s="13">
        <v>1</v>
      </c>
    </row>
    <row r="100" spans="1:5" x14ac:dyDescent="0.35">
      <c r="A100" s="2" t="s">
        <v>55</v>
      </c>
      <c r="B100" s="13">
        <v>9</v>
      </c>
      <c r="C100" s="13">
        <v>1</v>
      </c>
      <c r="D100" s="13">
        <v>10</v>
      </c>
      <c r="E100" s="13">
        <v>1</v>
      </c>
    </row>
    <row r="101" spans="1:5" x14ac:dyDescent="0.35">
      <c r="A101" s="2" t="s">
        <v>89</v>
      </c>
      <c r="B101" s="13">
        <v>7</v>
      </c>
      <c r="C101" s="13">
        <v>5</v>
      </c>
      <c r="D101" s="13">
        <v>7</v>
      </c>
      <c r="E101" s="13">
        <v>1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C14"/>
  <sheetViews>
    <sheetView showGridLines="0" workbookViewId="0">
      <pane ySplit="1" topLeftCell="A2" activePane="bottomLeft" state="frozen"/>
      <selection pane="bottomLeft" activeCell="B7" sqref="B7"/>
    </sheetView>
  </sheetViews>
  <sheetFormatPr defaultRowHeight="14.5" x14ac:dyDescent="0.35"/>
  <cols>
    <col min="1" max="1" width="31" customWidth="1"/>
    <col min="2" max="2" width="14" customWidth="1"/>
    <col min="3" max="3" width="32" customWidth="1"/>
  </cols>
  <sheetData>
    <row r="1" spans="1:3" x14ac:dyDescent="0.35">
      <c r="A1" s="1" t="s">
        <v>191</v>
      </c>
      <c r="B1" s="1" t="s">
        <v>192</v>
      </c>
      <c r="C1" s="1" t="s">
        <v>193</v>
      </c>
    </row>
    <row r="2" spans="1:3" x14ac:dyDescent="0.35">
      <c r="A2" s="2" t="s">
        <v>5</v>
      </c>
      <c r="B2" s="3">
        <v>0.16300000000000001</v>
      </c>
      <c r="C2" s="3">
        <v>1.18</v>
      </c>
    </row>
    <row r="3" spans="1:3" x14ac:dyDescent="0.35">
      <c r="A3" s="2" t="s">
        <v>6</v>
      </c>
      <c r="B3" s="3">
        <v>1.1970000000000001</v>
      </c>
      <c r="C3" s="3">
        <v>3.31</v>
      </c>
    </row>
    <row r="4" spans="1:3" x14ac:dyDescent="0.35">
      <c r="A4" s="2" t="s">
        <v>153</v>
      </c>
      <c r="B4" s="3">
        <v>7.4999999999999997E-2</v>
      </c>
      <c r="C4" s="3">
        <v>1.08</v>
      </c>
    </row>
    <row r="5" spans="1:3" x14ac:dyDescent="0.35">
      <c r="A5" s="2" t="s">
        <v>11</v>
      </c>
      <c r="B5" s="3">
        <v>1.3859999999999999</v>
      </c>
      <c r="C5" s="3">
        <v>4</v>
      </c>
    </row>
    <row r="6" spans="1:3" x14ac:dyDescent="0.35">
      <c r="A6" s="2" t="s">
        <v>12</v>
      </c>
      <c r="B6" s="3">
        <v>1.802</v>
      </c>
      <c r="C6" s="3">
        <v>6.06</v>
      </c>
    </row>
    <row r="7" spans="1:3" x14ac:dyDescent="0.35">
      <c r="A7" s="2" t="s">
        <v>8</v>
      </c>
      <c r="B7" s="3">
        <v>-5.7000000000000002E-2</v>
      </c>
      <c r="C7" s="3">
        <v>0.94</v>
      </c>
    </row>
    <row r="8" spans="1:3" x14ac:dyDescent="0.35">
      <c r="A8" s="2" t="s">
        <v>9</v>
      </c>
      <c r="B8" s="3">
        <v>0.152</v>
      </c>
      <c r="C8" s="3">
        <v>1.1599999999999999</v>
      </c>
    </row>
    <row r="9" spans="1:3" x14ac:dyDescent="0.35">
      <c r="A9" s="2" t="s">
        <v>10</v>
      </c>
      <c r="B9" s="3">
        <v>-2.5000000000000001E-2</v>
      </c>
      <c r="C9" s="3">
        <v>0.97</v>
      </c>
    </row>
    <row r="10" spans="1:3" x14ac:dyDescent="0.35">
      <c r="A10" s="3"/>
      <c r="B10" s="3"/>
      <c r="C10" s="3"/>
    </row>
    <row r="11" spans="1:3" x14ac:dyDescent="0.35">
      <c r="A11" s="2" t="s">
        <v>194</v>
      </c>
      <c r="B11" s="2" t="s">
        <v>195</v>
      </c>
      <c r="C11" s="3"/>
    </row>
    <row r="12" spans="1:3" x14ac:dyDescent="0.35">
      <c r="A12" s="2" t="s">
        <v>196</v>
      </c>
      <c r="B12" s="3">
        <v>0.998</v>
      </c>
      <c r="C12" s="3"/>
    </row>
    <row r="13" spans="1:3" x14ac:dyDescent="0.35">
      <c r="A13" s="2" t="s">
        <v>197</v>
      </c>
      <c r="B13" s="3">
        <v>20</v>
      </c>
      <c r="C13" s="3"/>
    </row>
    <row r="14" spans="1:3" x14ac:dyDescent="0.35">
      <c r="A14" s="2" t="s">
        <v>198</v>
      </c>
      <c r="B14" s="3">
        <v>100</v>
      </c>
      <c r="C14" s="3"/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B66"/>
  <sheetViews>
    <sheetView showGridLines="0" topLeftCell="A38" workbookViewId="0">
      <selection activeCell="D47" sqref="D47"/>
    </sheetView>
  </sheetViews>
  <sheetFormatPr defaultRowHeight="14.5" x14ac:dyDescent="0.35"/>
  <cols>
    <col min="1" max="2" width="28" customWidth="1"/>
  </cols>
  <sheetData>
    <row r="1" spans="1:2" x14ac:dyDescent="0.35">
      <c r="A1" s="8" t="s">
        <v>153</v>
      </c>
    </row>
    <row r="2" spans="1:2" x14ac:dyDescent="0.35">
      <c r="A2" s="9" t="s">
        <v>154</v>
      </c>
      <c r="B2" s="9" t="s">
        <v>155</v>
      </c>
    </row>
    <row r="3" spans="1:2" x14ac:dyDescent="0.35">
      <c r="A3" t="s">
        <v>38</v>
      </c>
      <c r="B3" s="10">
        <v>0.85</v>
      </c>
    </row>
    <row r="4" spans="1:2" x14ac:dyDescent="0.35">
      <c r="A4" t="s">
        <v>31</v>
      </c>
      <c r="B4" s="10">
        <v>1.3</v>
      </c>
    </row>
    <row r="5" spans="1:2" x14ac:dyDescent="0.35">
      <c r="A5" t="s">
        <v>29</v>
      </c>
      <c r="B5" s="10">
        <v>1.6</v>
      </c>
    </row>
    <row r="8" spans="1:2" x14ac:dyDescent="0.35">
      <c r="A8" s="8" t="s">
        <v>156</v>
      </c>
    </row>
    <row r="9" spans="1:2" x14ac:dyDescent="0.35">
      <c r="A9" s="9" t="s">
        <v>157</v>
      </c>
      <c r="B9" s="9" t="s">
        <v>155</v>
      </c>
    </row>
    <row r="10" spans="1:2" x14ac:dyDescent="0.35">
      <c r="A10" t="s">
        <v>158</v>
      </c>
      <c r="B10" s="10">
        <v>1</v>
      </c>
    </row>
    <row r="11" spans="1:2" x14ac:dyDescent="0.35">
      <c r="A11" t="s">
        <v>159</v>
      </c>
      <c r="B11" s="10">
        <v>1.1499999999999999</v>
      </c>
    </row>
    <row r="12" spans="1:2" x14ac:dyDescent="0.35">
      <c r="A12" t="s">
        <v>160</v>
      </c>
      <c r="B12" s="10">
        <v>1.3</v>
      </c>
    </row>
    <row r="13" spans="1:2" x14ac:dyDescent="0.35">
      <c r="A13" t="s">
        <v>161</v>
      </c>
      <c r="B13" s="10">
        <v>1.45</v>
      </c>
    </row>
    <row r="16" spans="1:2" x14ac:dyDescent="0.35">
      <c r="A16" s="8" t="s">
        <v>12</v>
      </c>
    </row>
    <row r="17" spans="1:2" x14ac:dyDescent="0.35">
      <c r="A17" s="9" t="s">
        <v>157</v>
      </c>
      <c r="B17" s="9" t="s">
        <v>155</v>
      </c>
    </row>
    <row r="18" spans="1:2" x14ac:dyDescent="0.35">
      <c r="A18" t="s">
        <v>162</v>
      </c>
      <c r="B18" s="10">
        <v>1</v>
      </c>
    </row>
    <row r="19" spans="1:2" x14ac:dyDescent="0.35">
      <c r="A19" t="s">
        <v>163</v>
      </c>
      <c r="B19" s="10">
        <v>1.75</v>
      </c>
    </row>
    <row r="20" spans="1:2" x14ac:dyDescent="0.35">
      <c r="A20" t="s">
        <v>159</v>
      </c>
      <c r="B20" s="10">
        <v>2.5</v>
      </c>
    </row>
    <row r="21" spans="1:2" x14ac:dyDescent="0.35">
      <c r="A21" t="s">
        <v>160</v>
      </c>
      <c r="B21" s="10">
        <v>3.25</v>
      </c>
    </row>
    <row r="22" spans="1:2" x14ac:dyDescent="0.35">
      <c r="A22" t="s">
        <v>161</v>
      </c>
      <c r="B22" s="10">
        <v>4</v>
      </c>
    </row>
    <row r="25" spans="1:2" x14ac:dyDescent="0.35">
      <c r="A25" s="8" t="s">
        <v>11</v>
      </c>
    </row>
    <row r="26" spans="1:2" x14ac:dyDescent="0.35">
      <c r="A26" s="9" t="s">
        <v>157</v>
      </c>
      <c r="B26" s="9" t="s">
        <v>155</v>
      </c>
    </row>
    <row r="27" spans="1:2" x14ac:dyDescent="0.35">
      <c r="A27" t="s">
        <v>158</v>
      </c>
      <c r="B27" s="10">
        <v>1</v>
      </c>
    </row>
    <row r="28" spans="1:2" x14ac:dyDescent="0.35">
      <c r="A28" t="s">
        <v>164</v>
      </c>
      <c r="B28" s="10">
        <v>1.75</v>
      </c>
    </row>
    <row r="29" spans="1:2" x14ac:dyDescent="0.35">
      <c r="A29" t="s">
        <v>165</v>
      </c>
      <c r="B29" s="10">
        <v>2.5</v>
      </c>
    </row>
    <row r="30" spans="1:2" x14ac:dyDescent="0.35">
      <c r="A30" t="s">
        <v>166</v>
      </c>
      <c r="B30" s="10">
        <v>3.25</v>
      </c>
    </row>
    <row r="31" spans="1:2" x14ac:dyDescent="0.35">
      <c r="A31" t="s">
        <v>167</v>
      </c>
      <c r="B31" s="10">
        <v>3.75</v>
      </c>
    </row>
    <row r="34" spans="1:2" x14ac:dyDescent="0.35">
      <c r="A34" s="8" t="s">
        <v>8</v>
      </c>
    </row>
    <row r="35" spans="1:2" x14ac:dyDescent="0.35">
      <c r="A35" s="9" t="s">
        <v>168</v>
      </c>
      <c r="B35" s="9" t="s">
        <v>155</v>
      </c>
    </row>
    <row r="36" spans="1:2" x14ac:dyDescent="0.35">
      <c r="A36" t="s">
        <v>169</v>
      </c>
      <c r="B36" s="10">
        <v>1</v>
      </c>
    </row>
    <row r="37" spans="1:2" x14ac:dyDescent="0.35">
      <c r="A37" t="s">
        <v>170</v>
      </c>
      <c r="B37" s="10">
        <v>1.1000000000000001</v>
      </c>
    </row>
    <row r="38" spans="1:2" x14ac:dyDescent="0.35">
      <c r="A38" t="s">
        <v>171</v>
      </c>
      <c r="B38" s="10">
        <v>1.25</v>
      </c>
    </row>
    <row r="39" spans="1:2" x14ac:dyDescent="0.35">
      <c r="A39" t="s">
        <v>172</v>
      </c>
      <c r="B39" s="10">
        <v>1.35</v>
      </c>
    </row>
    <row r="40" spans="1:2" x14ac:dyDescent="0.35">
      <c r="A40" t="s">
        <v>173</v>
      </c>
      <c r="B40" s="10">
        <v>1.45</v>
      </c>
    </row>
    <row r="43" spans="1:2" x14ac:dyDescent="0.35">
      <c r="A43" s="8" t="s">
        <v>9</v>
      </c>
    </row>
    <row r="44" spans="1:2" x14ac:dyDescent="0.35">
      <c r="A44" s="9" t="s">
        <v>174</v>
      </c>
      <c r="B44" s="9" t="s">
        <v>155</v>
      </c>
    </row>
    <row r="45" spans="1:2" x14ac:dyDescent="0.35">
      <c r="A45" t="s">
        <v>175</v>
      </c>
      <c r="B45" s="10">
        <v>1</v>
      </c>
    </row>
    <row r="46" spans="1:2" x14ac:dyDescent="0.35">
      <c r="A46" t="s">
        <v>176</v>
      </c>
      <c r="B46" s="10">
        <v>1.1000000000000001</v>
      </c>
    </row>
    <row r="47" spans="1:2" x14ac:dyDescent="0.35">
      <c r="A47" t="s">
        <v>177</v>
      </c>
      <c r="B47" s="10">
        <v>1.3</v>
      </c>
    </row>
    <row r="48" spans="1:2" x14ac:dyDescent="0.35">
      <c r="A48" t="s">
        <v>178</v>
      </c>
      <c r="B48" s="10">
        <v>1.5</v>
      </c>
    </row>
    <row r="51" spans="1:2" x14ac:dyDescent="0.35">
      <c r="A51" s="8" t="s">
        <v>179</v>
      </c>
    </row>
    <row r="52" spans="1:2" x14ac:dyDescent="0.35">
      <c r="A52" s="9" t="s">
        <v>180</v>
      </c>
      <c r="B52" s="9" t="s">
        <v>155</v>
      </c>
    </row>
    <row r="53" spans="1:2" x14ac:dyDescent="0.35">
      <c r="A53" t="s">
        <v>181</v>
      </c>
      <c r="B53" s="10">
        <v>1</v>
      </c>
    </row>
    <row r="54" spans="1:2" x14ac:dyDescent="0.35">
      <c r="A54" t="s">
        <v>182</v>
      </c>
      <c r="B54" s="10">
        <v>1.1000000000000001</v>
      </c>
    </row>
    <row r="55" spans="1:2" x14ac:dyDescent="0.35">
      <c r="A55" t="s">
        <v>183</v>
      </c>
      <c r="B55" s="10">
        <v>1.2</v>
      </c>
    </row>
    <row r="56" spans="1:2" x14ac:dyDescent="0.35">
      <c r="A56" t="s">
        <v>184</v>
      </c>
      <c r="B56" s="10">
        <v>1.3</v>
      </c>
    </row>
    <row r="57" spans="1:2" x14ac:dyDescent="0.35">
      <c r="A57" t="s">
        <v>185</v>
      </c>
      <c r="B57" s="10">
        <v>1.4</v>
      </c>
    </row>
    <row r="60" spans="1:2" x14ac:dyDescent="0.35">
      <c r="A60" s="8" t="s">
        <v>22</v>
      </c>
    </row>
    <row r="61" spans="1:2" x14ac:dyDescent="0.35">
      <c r="A61" s="9" t="s">
        <v>5</v>
      </c>
      <c r="B61" s="9" t="s">
        <v>155</v>
      </c>
    </row>
    <row r="62" spans="1:2" x14ac:dyDescent="0.35">
      <c r="A62" t="s">
        <v>186</v>
      </c>
      <c r="B62" s="10">
        <v>1</v>
      </c>
    </row>
    <row r="63" spans="1:2" x14ac:dyDescent="0.35">
      <c r="A63" t="s">
        <v>187</v>
      </c>
      <c r="B63" s="10">
        <v>1.1000000000000001</v>
      </c>
    </row>
    <row r="64" spans="1:2" x14ac:dyDescent="0.35">
      <c r="A64" t="s">
        <v>188</v>
      </c>
      <c r="B64" s="10">
        <v>1.25</v>
      </c>
    </row>
    <row r="65" spans="1:2" x14ac:dyDescent="0.35">
      <c r="A65" t="s">
        <v>189</v>
      </c>
      <c r="B65" s="10">
        <v>1.5</v>
      </c>
    </row>
    <row r="66" spans="1:2" x14ac:dyDescent="0.35">
      <c r="A66" t="s">
        <v>190</v>
      </c>
      <c r="B66" s="10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B6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2" width="32" customWidth="1"/>
  </cols>
  <sheetData>
    <row r="1" spans="1:2" x14ac:dyDescent="0.35">
      <c r="A1" s="1" t="s">
        <v>199</v>
      </c>
      <c r="B1" s="1" t="s">
        <v>138</v>
      </c>
    </row>
    <row r="2" spans="1:2" x14ac:dyDescent="0.35">
      <c r="A2" s="2" t="s">
        <v>200</v>
      </c>
      <c r="B2" s="2" t="s">
        <v>201</v>
      </c>
    </row>
    <row r="3" spans="1:2" x14ac:dyDescent="0.35">
      <c r="A3" s="2" t="s">
        <v>202</v>
      </c>
      <c r="B3" s="2" t="s">
        <v>203</v>
      </c>
    </row>
    <row r="4" spans="1:2" x14ac:dyDescent="0.35">
      <c r="A4" s="2" t="s">
        <v>204</v>
      </c>
      <c r="B4" s="2" t="s">
        <v>205</v>
      </c>
    </row>
    <row r="5" spans="1:2" x14ac:dyDescent="0.35">
      <c r="A5" s="2" t="s">
        <v>206</v>
      </c>
      <c r="B5" s="2" t="s">
        <v>207</v>
      </c>
    </row>
    <row r="6" spans="1:2" x14ac:dyDescent="0.35">
      <c r="A6" s="2" t="s">
        <v>208</v>
      </c>
      <c r="B6" s="2" t="s">
        <v>209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/>
  </sheetPr>
  <dimension ref="A1:E101"/>
  <sheetViews>
    <sheetView workbookViewId="0">
      <selection activeCell="F17" sqref="F17"/>
    </sheetView>
  </sheetViews>
  <sheetFormatPr defaultRowHeight="14.5" x14ac:dyDescent="0.35"/>
  <cols>
    <col min="1" max="1" width="22" bestFit="1" customWidth="1"/>
    <col min="2" max="2" width="14.90625" bestFit="1" customWidth="1"/>
    <col min="3" max="3" width="24.36328125" bestFit="1" customWidth="1"/>
    <col min="4" max="4" width="25.1796875" bestFit="1" customWidth="1"/>
    <col min="5" max="5" width="14.1796875" bestFit="1" customWidth="1"/>
  </cols>
  <sheetData>
    <row r="1" spans="1:5" x14ac:dyDescent="0.35">
      <c r="A1" s="28" t="s">
        <v>0</v>
      </c>
      <c r="B1" s="28" t="s">
        <v>1</v>
      </c>
      <c r="C1" s="28" t="s">
        <v>210</v>
      </c>
      <c r="D1" s="28" t="s">
        <v>211</v>
      </c>
      <c r="E1" s="28" t="s">
        <v>212</v>
      </c>
    </row>
    <row r="2" spans="1:5" x14ac:dyDescent="0.35">
      <c r="A2" t="s">
        <v>45</v>
      </c>
      <c r="B2">
        <v>1</v>
      </c>
      <c r="C2">
        <v>99.57</v>
      </c>
      <c r="D2">
        <v>100</v>
      </c>
      <c r="E2" t="s">
        <v>213</v>
      </c>
    </row>
    <row r="3" spans="1:5" x14ac:dyDescent="0.35">
      <c r="A3" t="s">
        <v>47</v>
      </c>
      <c r="B3">
        <v>1</v>
      </c>
      <c r="C3">
        <v>99.47</v>
      </c>
      <c r="D3">
        <v>99</v>
      </c>
      <c r="E3" t="s">
        <v>213</v>
      </c>
    </row>
    <row r="4" spans="1:5" x14ac:dyDescent="0.35">
      <c r="A4" t="s">
        <v>48</v>
      </c>
      <c r="B4">
        <v>1</v>
      </c>
      <c r="C4">
        <v>99.4</v>
      </c>
      <c r="D4">
        <v>98</v>
      </c>
      <c r="E4" t="s">
        <v>213</v>
      </c>
    </row>
    <row r="5" spans="1:5" x14ac:dyDescent="0.35">
      <c r="A5" t="s">
        <v>43</v>
      </c>
      <c r="B5">
        <v>1</v>
      </c>
      <c r="C5">
        <v>99.33</v>
      </c>
      <c r="D5">
        <v>97</v>
      </c>
      <c r="E5" t="s">
        <v>213</v>
      </c>
    </row>
    <row r="6" spans="1:5" x14ac:dyDescent="0.35">
      <c r="A6" t="s">
        <v>46</v>
      </c>
      <c r="B6">
        <v>1</v>
      </c>
      <c r="C6">
        <v>99.27</v>
      </c>
      <c r="D6">
        <v>96</v>
      </c>
      <c r="E6" t="s">
        <v>213</v>
      </c>
    </row>
    <row r="7" spans="1:5" x14ac:dyDescent="0.35">
      <c r="A7" t="s">
        <v>41</v>
      </c>
      <c r="B7">
        <v>1</v>
      </c>
      <c r="C7">
        <v>98.82</v>
      </c>
      <c r="D7">
        <v>95</v>
      </c>
      <c r="E7" t="s">
        <v>213</v>
      </c>
    </row>
    <row r="8" spans="1:5" x14ac:dyDescent="0.35">
      <c r="A8" t="s">
        <v>42</v>
      </c>
      <c r="B8">
        <v>1</v>
      </c>
      <c r="C8">
        <v>98.79</v>
      </c>
      <c r="D8">
        <v>94</v>
      </c>
      <c r="E8" t="s">
        <v>213</v>
      </c>
    </row>
    <row r="9" spans="1:5" x14ac:dyDescent="0.35">
      <c r="A9" t="s">
        <v>49</v>
      </c>
      <c r="B9">
        <v>1</v>
      </c>
      <c r="C9">
        <v>98.71</v>
      </c>
      <c r="D9">
        <v>93</v>
      </c>
      <c r="E9" t="s">
        <v>213</v>
      </c>
    </row>
    <row r="10" spans="1:5" x14ac:dyDescent="0.35">
      <c r="A10" t="s">
        <v>28</v>
      </c>
      <c r="B10">
        <v>1</v>
      </c>
      <c r="C10">
        <v>98.66</v>
      </c>
      <c r="D10">
        <v>92</v>
      </c>
      <c r="E10" t="s">
        <v>213</v>
      </c>
    </row>
    <row r="11" spans="1:5" x14ac:dyDescent="0.35">
      <c r="A11" t="s">
        <v>36</v>
      </c>
      <c r="B11">
        <v>1</v>
      </c>
      <c r="C11">
        <v>98.36</v>
      </c>
      <c r="D11">
        <v>91</v>
      </c>
      <c r="E11" t="s">
        <v>213</v>
      </c>
    </row>
    <row r="12" spans="1:5" x14ac:dyDescent="0.35">
      <c r="A12" t="s">
        <v>44</v>
      </c>
      <c r="B12">
        <v>1</v>
      </c>
      <c r="C12">
        <v>97.81</v>
      </c>
      <c r="D12">
        <v>90</v>
      </c>
      <c r="E12" t="s">
        <v>213</v>
      </c>
    </row>
    <row r="13" spans="1:5" x14ac:dyDescent="0.35">
      <c r="A13" t="s">
        <v>40</v>
      </c>
      <c r="B13">
        <v>1</v>
      </c>
      <c r="C13">
        <v>97.74</v>
      </c>
      <c r="D13">
        <v>89</v>
      </c>
      <c r="E13" t="s">
        <v>214</v>
      </c>
    </row>
    <row r="14" spans="1:5" x14ac:dyDescent="0.35">
      <c r="A14" t="s">
        <v>32</v>
      </c>
      <c r="B14">
        <v>1</v>
      </c>
      <c r="C14">
        <v>96.83</v>
      </c>
      <c r="D14">
        <v>88</v>
      </c>
      <c r="E14" t="s">
        <v>214</v>
      </c>
    </row>
    <row r="15" spans="1:5" x14ac:dyDescent="0.35">
      <c r="A15" t="s">
        <v>50</v>
      </c>
      <c r="B15">
        <v>1</v>
      </c>
      <c r="C15">
        <v>96.12</v>
      </c>
      <c r="D15">
        <v>87</v>
      </c>
      <c r="E15" t="s">
        <v>214</v>
      </c>
    </row>
    <row r="16" spans="1:5" x14ac:dyDescent="0.35">
      <c r="A16" t="s">
        <v>30</v>
      </c>
      <c r="B16">
        <v>1</v>
      </c>
      <c r="C16">
        <v>96.09</v>
      </c>
      <c r="D16">
        <v>86</v>
      </c>
      <c r="E16" t="s">
        <v>214</v>
      </c>
    </row>
    <row r="17" spans="1:5" x14ac:dyDescent="0.35">
      <c r="A17" t="s">
        <v>33</v>
      </c>
      <c r="B17">
        <v>1</v>
      </c>
      <c r="C17">
        <v>95.46</v>
      </c>
      <c r="D17">
        <v>85</v>
      </c>
      <c r="E17" t="s">
        <v>214</v>
      </c>
    </row>
    <row r="18" spans="1:5" x14ac:dyDescent="0.35">
      <c r="A18" t="s">
        <v>34</v>
      </c>
      <c r="B18">
        <v>1</v>
      </c>
      <c r="C18">
        <v>95.05</v>
      </c>
      <c r="D18">
        <v>84</v>
      </c>
      <c r="E18" t="s">
        <v>214</v>
      </c>
    </row>
    <row r="19" spans="1:5" x14ac:dyDescent="0.35">
      <c r="A19" t="s">
        <v>37</v>
      </c>
      <c r="B19">
        <v>1</v>
      </c>
      <c r="C19">
        <v>94.99</v>
      </c>
      <c r="D19">
        <v>83</v>
      </c>
      <c r="E19" t="s">
        <v>214</v>
      </c>
    </row>
    <row r="20" spans="1:5" x14ac:dyDescent="0.35">
      <c r="A20" t="s">
        <v>35</v>
      </c>
      <c r="B20">
        <v>1</v>
      </c>
      <c r="C20">
        <v>94.48</v>
      </c>
      <c r="D20">
        <v>82</v>
      </c>
      <c r="E20" t="s">
        <v>214</v>
      </c>
    </row>
    <row r="21" spans="1:5" x14ac:dyDescent="0.35">
      <c r="A21" t="s">
        <v>53</v>
      </c>
      <c r="B21">
        <v>0</v>
      </c>
      <c r="C21">
        <v>84.94</v>
      </c>
      <c r="D21">
        <v>81</v>
      </c>
      <c r="E21" t="s">
        <v>214</v>
      </c>
    </row>
    <row r="22" spans="1:5" x14ac:dyDescent="0.35">
      <c r="A22" t="s">
        <v>65</v>
      </c>
      <c r="B22">
        <v>0</v>
      </c>
      <c r="C22">
        <v>58.44</v>
      </c>
      <c r="D22">
        <v>80</v>
      </c>
      <c r="E22" t="s">
        <v>214</v>
      </c>
    </row>
    <row r="23" spans="1:5" x14ac:dyDescent="0.35">
      <c r="A23" t="s">
        <v>120</v>
      </c>
      <c r="B23">
        <v>0</v>
      </c>
      <c r="C23">
        <v>8.7100000000000009</v>
      </c>
      <c r="D23">
        <v>79</v>
      </c>
      <c r="E23" t="s">
        <v>214</v>
      </c>
    </row>
    <row r="24" spans="1:5" x14ac:dyDescent="0.35">
      <c r="A24" t="s">
        <v>72</v>
      </c>
      <c r="B24">
        <v>0</v>
      </c>
      <c r="C24">
        <v>8.59</v>
      </c>
      <c r="D24">
        <v>78</v>
      </c>
      <c r="E24" t="s">
        <v>214</v>
      </c>
    </row>
    <row r="25" spans="1:5" x14ac:dyDescent="0.35">
      <c r="A25" t="s">
        <v>55</v>
      </c>
      <c r="B25">
        <v>0</v>
      </c>
      <c r="C25">
        <v>3.4</v>
      </c>
      <c r="D25">
        <v>77</v>
      </c>
      <c r="E25" t="s">
        <v>214</v>
      </c>
    </row>
    <row r="26" spans="1:5" x14ac:dyDescent="0.35">
      <c r="A26" t="s">
        <v>126</v>
      </c>
      <c r="B26">
        <v>0</v>
      </c>
      <c r="C26">
        <v>3.22</v>
      </c>
      <c r="D26">
        <v>76</v>
      </c>
      <c r="E26" t="s">
        <v>214</v>
      </c>
    </row>
    <row r="27" spans="1:5" x14ac:dyDescent="0.35">
      <c r="A27" t="s">
        <v>125</v>
      </c>
      <c r="B27">
        <v>0</v>
      </c>
      <c r="C27">
        <v>3.17</v>
      </c>
      <c r="D27">
        <v>75</v>
      </c>
      <c r="E27" t="s">
        <v>214</v>
      </c>
    </row>
    <row r="28" spans="1:5" x14ac:dyDescent="0.35">
      <c r="A28" t="s">
        <v>68</v>
      </c>
      <c r="B28">
        <v>0</v>
      </c>
      <c r="C28">
        <v>2.64</v>
      </c>
      <c r="D28">
        <v>74</v>
      </c>
      <c r="E28" t="s">
        <v>216</v>
      </c>
    </row>
    <row r="29" spans="1:5" x14ac:dyDescent="0.35">
      <c r="A29" t="s">
        <v>52</v>
      </c>
      <c r="B29">
        <v>0</v>
      </c>
      <c r="C29">
        <v>2.6</v>
      </c>
      <c r="D29">
        <v>73</v>
      </c>
      <c r="E29" t="s">
        <v>216</v>
      </c>
    </row>
    <row r="30" spans="1:5" x14ac:dyDescent="0.35">
      <c r="A30" t="s">
        <v>95</v>
      </c>
      <c r="B30">
        <v>0</v>
      </c>
      <c r="C30">
        <v>2.59</v>
      </c>
      <c r="D30">
        <v>72</v>
      </c>
      <c r="E30" t="s">
        <v>216</v>
      </c>
    </row>
    <row r="31" spans="1:5" x14ac:dyDescent="0.35">
      <c r="A31" t="s">
        <v>57</v>
      </c>
      <c r="B31">
        <v>0</v>
      </c>
      <c r="C31">
        <v>2.38</v>
      </c>
      <c r="D31">
        <v>71</v>
      </c>
      <c r="E31" t="s">
        <v>216</v>
      </c>
    </row>
    <row r="32" spans="1:5" x14ac:dyDescent="0.35">
      <c r="A32" t="s">
        <v>71</v>
      </c>
      <c r="B32">
        <v>0</v>
      </c>
      <c r="C32">
        <v>2.09</v>
      </c>
      <c r="D32">
        <v>70</v>
      </c>
      <c r="E32" t="s">
        <v>216</v>
      </c>
    </row>
    <row r="33" spans="1:5" x14ac:dyDescent="0.35">
      <c r="A33" t="s">
        <v>102</v>
      </c>
      <c r="B33">
        <v>0</v>
      </c>
      <c r="C33">
        <v>1.9</v>
      </c>
      <c r="D33">
        <v>69</v>
      </c>
      <c r="E33" t="s">
        <v>216</v>
      </c>
    </row>
    <row r="34" spans="1:5" x14ac:dyDescent="0.35">
      <c r="A34" t="s">
        <v>98</v>
      </c>
      <c r="B34">
        <v>0</v>
      </c>
      <c r="C34">
        <v>1.76</v>
      </c>
      <c r="D34">
        <v>68</v>
      </c>
      <c r="E34" t="s">
        <v>216</v>
      </c>
    </row>
    <row r="35" spans="1:5" x14ac:dyDescent="0.35">
      <c r="A35" t="s">
        <v>104</v>
      </c>
      <c r="B35">
        <v>0</v>
      </c>
      <c r="C35">
        <v>1.63</v>
      </c>
      <c r="D35">
        <v>67</v>
      </c>
      <c r="E35" t="s">
        <v>216</v>
      </c>
    </row>
    <row r="36" spans="1:5" x14ac:dyDescent="0.35">
      <c r="A36" t="s">
        <v>127</v>
      </c>
      <c r="B36">
        <v>0</v>
      </c>
      <c r="C36">
        <v>1.61</v>
      </c>
      <c r="D36">
        <v>66</v>
      </c>
      <c r="E36" t="s">
        <v>216</v>
      </c>
    </row>
    <row r="37" spans="1:5" x14ac:dyDescent="0.35">
      <c r="A37" t="s">
        <v>94</v>
      </c>
      <c r="B37">
        <v>0</v>
      </c>
      <c r="C37">
        <v>1.48</v>
      </c>
      <c r="D37">
        <v>65</v>
      </c>
      <c r="E37" t="s">
        <v>216</v>
      </c>
    </row>
    <row r="38" spans="1:5" x14ac:dyDescent="0.35">
      <c r="A38" t="s">
        <v>63</v>
      </c>
      <c r="B38">
        <v>0</v>
      </c>
      <c r="C38">
        <v>1.42</v>
      </c>
      <c r="D38">
        <v>64</v>
      </c>
      <c r="E38" t="s">
        <v>216</v>
      </c>
    </row>
    <row r="39" spans="1:5" x14ac:dyDescent="0.35">
      <c r="A39" t="s">
        <v>130</v>
      </c>
      <c r="B39">
        <v>0</v>
      </c>
      <c r="C39">
        <v>1.2</v>
      </c>
      <c r="D39">
        <v>63</v>
      </c>
      <c r="E39" t="s">
        <v>216</v>
      </c>
    </row>
    <row r="40" spans="1:5" x14ac:dyDescent="0.35">
      <c r="A40" t="s">
        <v>123</v>
      </c>
      <c r="B40">
        <v>0</v>
      </c>
      <c r="C40">
        <v>1.18</v>
      </c>
      <c r="D40">
        <v>62</v>
      </c>
      <c r="E40" t="s">
        <v>216</v>
      </c>
    </row>
    <row r="41" spans="1:5" x14ac:dyDescent="0.35">
      <c r="A41" t="s">
        <v>61</v>
      </c>
      <c r="B41">
        <v>0</v>
      </c>
      <c r="C41">
        <v>1.1599999999999999</v>
      </c>
      <c r="D41">
        <v>60.5</v>
      </c>
      <c r="E41" t="s">
        <v>216</v>
      </c>
    </row>
    <row r="42" spans="1:5" x14ac:dyDescent="0.35">
      <c r="A42" t="s">
        <v>62</v>
      </c>
      <c r="B42">
        <v>0</v>
      </c>
      <c r="C42">
        <v>1.1599999999999999</v>
      </c>
      <c r="D42">
        <v>60.5</v>
      </c>
      <c r="E42" t="s">
        <v>216</v>
      </c>
    </row>
    <row r="43" spans="1:5" x14ac:dyDescent="0.35">
      <c r="A43" t="s">
        <v>76</v>
      </c>
      <c r="B43">
        <v>0</v>
      </c>
      <c r="C43">
        <v>0.87</v>
      </c>
      <c r="D43">
        <v>59</v>
      </c>
      <c r="E43" t="s">
        <v>216</v>
      </c>
    </row>
    <row r="44" spans="1:5" x14ac:dyDescent="0.35">
      <c r="A44" t="s">
        <v>64</v>
      </c>
      <c r="B44">
        <v>0</v>
      </c>
      <c r="C44">
        <v>0.82</v>
      </c>
      <c r="D44">
        <v>58</v>
      </c>
      <c r="E44" t="s">
        <v>216</v>
      </c>
    </row>
    <row r="45" spans="1:5" x14ac:dyDescent="0.35">
      <c r="A45" t="s">
        <v>60</v>
      </c>
      <c r="B45">
        <v>0</v>
      </c>
      <c r="C45">
        <v>0.71</v>
      </c>
      <c r="D45">
        <v>57</v>
      </c>
      <c r="E45" t="s">
        <v>216</v>
      </c>
    </row>
    <row r="46" spans="1:5" x14ac:dyDescent="0.35">
      <c r="A46" t="s">
        <v>69</v>
      </c>
      <c r="B46">
        <v>0</v>
      </c>
      <c r="C46">
        <v>0.7</v>
      </c>
      <c r="D46">
        <v>56</v>
      </c>
      <c r="E46" t="s">
        <v>216</v>
      </c>
    </row>
    <row r="47" spans="1:5" x14ac:dyDescent="0.35">
      <c r="A47" t="s">
        <v>129</v>
      </c>
      <c r="B47">
        <v>0</v>
      </c>
      <c r="C47">
        <v>0.66</v>
      </c>
      <c r="D47">
        <v>55</v>
      </c>
      <c r="E47" t="s">
        <v>216</v>
      </c>
    </row>
    <row r="48" spans="1:5" x14ac:dyDescent="0.35">
      <c r="A48" t="s">
        <v>88</v>
      </c>
      <c r="B48">
        <v>0</v>
      </c>
      <c r="C48">
        <v>0.65</v>
      </c>
      <c r="D48">
        <v>54</v>
      </c>
      <c r="E48" t="s">
        <v>216</v>
      </c>
    </row>
    <row r="49" spans="1:5" x14ac:dyDescent="0.35">
      <c r="A49" t="s">
        <v>59</v>
      </c>
      <c r="B49">
        <v>0</v>
      </c>
      <c r="C49">
        <v>0.61</v>
      </c>
      <c r="D49">
        <v>53</v>
      </c>
      <c r="E49" t="s">
        <v>216</v>
      </c>
    </row>
    <row r="50" spans="1:5" x14ac:dyDescent="0.35">
      <c r="A50" t="s">
        <v>58</v>
      </c>
      <c r="B50">
        <v>0</v>
      </c>
      <c r="C50">
        <v>0.6</v>
      </c>
      <c r="D50">
        <v>52</v>
      </c>
      <c r="E50" t="s">
        <v>216</v>
      </c>
    </row>
    <row r="51" spans="1:5" x14ac:dyDescent="0.35">
      <c r="A51" t="s">
        <v>74</v>
      </c>
      <c r="B51">
        <v>0</v>
      </c>
      <c r="C51">
        <v>0.57999999999999996</v>
      </c>
      <c r="D51">
        <v>51</v>
      </c>
      <c r="E51" t="s">
        <v>216</v>
      </c>
    </row>
    <row r="52" spans="1:5" x14ac:dyDescent="0.35">
      <c r="A52" t="s">
        <v>86</v>
      </c>
      <c r="B52">
        <v>0</v>
      </c>
      <c r="C52">
        <v>0.56999999999999995</v>
      </c>
      <c r="D52">
        <v>50</v>
      </c>
      <c r="E52" t="s">
        <v>216</v>
      </c>
    </row>
    <row r="53" spans="1:5" x14ac:dyDescent="0.35">
      <c r="A53" t="s">
        <v>111</v>
      </c>
      <c r="B53">
        <v>0</v>
      </c>
      <c r="C53">
        <v>0.55000000000000004</v>
      </c>
      <c r="D53">
        <v>49</v>
      </c>
      <c r="E53" t="s">
        <v>215</v>
      </c>
    </row>
    <row r="54" spans="1:5" x14ac:dyDescent="0.35">
      <c r="A54" t="s">
        <v>70</v>
      </c>
      <c r="B54">
        <v>0</v>
      </c>
      <c r="C54">
        <v>0.55000000000000004</v>
      </c>
      <c r="D54">
        <v>48</v>
      </c>
      <c r="E54" t="s">
        <v>215</v>
      </c>
    </row>
    <row r="55" spans="1:5" x14ac:dyDescent="0.35">
      <c r="A55" t="s">
        <v>91</v>
      </c>
      <c r="B55">
        <v>0</v>
      </c>
      <c r="C55">
        <v>0.54</v>
      </c>
      <c r="D55">
        <v>46.5</v>
      </c>
      <c r="E55" t="s">
        <v>215</v>
      </c>
    </row>
    <row r="56" spans="1:5" x14ac:dyDescent="0.35">
      <c r="A56" t="s">
        <v>128</v>
      </c>
      <c r="B56">
        <v>0</v>
      </c>
      <c r="C56">
        <v>0.54</v>
      </c>
      <c r="D56">
        <v>46.5</v>
      </c>
      <c r="E56" t="s">
        <v>215</v>
      </c>
    </row>
    <row r="57" spans="1:5" x14ac:dyDescent="0.35">
      <c r="A57" t="s">
        <v>77</v>
      </c>
      <c r="B57">
        <v>0</v>
      </c>
      <c r="C57">
        <v>0.51</v>
      </c>
      <c r="D57">
        <v>45</v>
      </c>
      <c r="E57" t="s">
        <v>215</v>
      </c>
    </row>
    <row r="58" spans="1:5" x14ac:dyDescent="0.35">
      <c r="A58" t="s">
        <v>80</v>
      </c>
      <c r="B58">
        <v>0</v>
      </c>
      <c r="C58">
        <v>0.46</v>
      </c>
      <c r="D58">
        <v>44</v>
      </c>
      <c r="E58" t="s">
        <v>215</v>
      </c>
    </row>
    <row r="59" spans="1:5" x14ac:dyDescent="0.35">
      <c r="A59" t="s">
        <v>56</v>
      </c>
      <c r="B59">
        <v>0</v>
      </c>
      <c r="C59">
        <v>0.45</v>
      </c>
      <c r="D59">
        <v>43</v>
      </c>
      <c r="E59" t="s">
        <v>215</v>
      </c>
    </row>
    <row r="60" spans="1:5" x14ac:dyDescent="0.35">
      <c r="A60" t="s">
        <v>67</v>
      </c>
      <c r="B60">
        <v>0</v>
      </c>
      <c r="C60">
        <v>0.44</v>
      </c>
      <c r="D60">
        <v>42</v>
      </c>
      <c r="E60" t="s">
        <v>215</v>
      </c>
    </row>
    <row r="61" spans="1:5" x14ac:dyDescent="0.35">
      <c r="A61" t="s">
        <v>106</v>
      </c>
      <c r="B61">
        <v>0</v>
      </c>
      <c r="C61">
        <v>0.36</v>
      </c>
      <c r="D61">
        <v>41</v>
      </c>
      <c r="E61" t="s">
        <v>215</v>
      </c>
    </row>
    <row r="62" spans="1:5" x14ac:dyDescent="0.35">
      <c r="A62" t="s">
        <v>113</v>
      </c>
      <c r="B62">
        <v>0</v>
      </c>
      <c r="C62">
        <v>0.34</v>
      </c>
      <c r="D62">
        <v>40</v>
      </c>
      <c r="E62" t="s">
        <v>215</v>
      </c>
    </row>
    <row r="63" spans="1:5" x14ac:dyDescent="0.35">
      <c r="A63" t="s">
        <v>87</v>
      </c>
      <c r="B63">
        <v>0</v>
      </c>
      <c r="C63">
        <v>0.34</v>
      </c>
      <c r="D63">
        <v>38.5</v>
      </c>
      <c r="E63" t="s">
        <v>215</v>
      </c>
    </row>
    <row r="64" spans="1:5" x14ac:dyDescent="0.35">
      <c r="A64" t="s">
        <v>90</v>
      </c>
      <c r="B64">
        <v>0</v>
      </c>
      <c r="C64">
        <v>0.34</v>
      </c>
      <c r="D64">
        <v>38.5</v>
      </c>
      <c r="E64" t="s">
        <v>215</v>
      </c>
    </row>
    <row r="65" spans="1:5" x14ac:dyDescent="0.35">
      <c r="A65" t="s">
        <v>100</v>
      </c>
      <c r="B65">
        <v>0</v>
      </c>
      <c r="C65">
        <v>0.33</v>
      </c>
      <c r="D65">
        <v>37</v>
      </c>
      <c r="E65" t="s">
        <v>215</v>
      </c>
    </row>
    <row r="66" spans="1:5" x14ac:dyDescent="0.35">
      <c r="A66" t="s">
        <v>73</v>
      </c>
      <c r="B66">
        <v>0</v>
      </c>
      <c r="C66">
        <v>0.32</v>
      </c>
      <c r="D66">
        <v>35.5</v>
      </c>
      <c r="E66" t="s">
        <v>215</v>
      </c>
    </row>
    <row r="67" spans="1:5" x14ac:dyDescent="0.35">
      <c r="A67" t="s">
        <v>75</v>
      </c>
      <c r="B67">
        <v>0</v>
      </c>
      <c r="C67">
        <v>0.32</v>
      </c>
      <c r="D67">
        <v>35.5</v>
      </c>
      <c r="E67" t="s">
        <v>215</v>
      </c>
    </row>
    <row r="68" spans="1:5" x14ac:dyDescent="0.35">
      <c r="A68" t="s">
        <v>124</v>
      </c>
      <c r="B68">
        <v>0</v>
      </c>
      <c r="C68">
        <v>0.3</v>
      </c>
      <c r="D68">
        <v>34</v>
      </c>
      <c r="E68" t="s">
        <v>215</v>
      </c>
    </row>
    <row r="69" spans="1:5" x14ac:dyDescent="0.35">
      <c r="A69" t="s">
        <v>101</v>
      </c>
      <c r="B69">
        <v>0</v>
      </c>
      <c r="C69">
        <v>0.3</v>
      </c>
      <c r="D69">
        <v>32.5</v>
      </c>
      <c r="E69" t="s">
        <v>215</v>
      </c>
    </row>
    <row r="70" spans="1:5" x14ac:dyDescent="0.35">
      <c r="A70" t="s">
        <v>112</v>
      </c>
      <c r="B70">
        <v>0</v>
      </c>
      <c r="C70">
        <v>0.3</v>
      </c>
      <c r="D70">
        <v>32.5</v>
      </c>
      <c r="E70" t="s">
        <v>215</v>
      </c>
    </row>
    <row r="71" spans="1:5" x14ac:dyDescent="0.35">
      <c r="A71" t="s">
        <v>54</v>
      </c>
      <c r="B71">
        <v>0</v>
      </c>
      <c r="C71">
        <v>0.28999999999999998</v>
      </c>
      <c r="D71">
        <v>31</v>
      </c>
      <c r="E71" t="s">
        <v>215</v>
      </c>
    </row>
    <row r="72" spans="1:5" x14ac:dyDescent="0.35">
      <c r="A72" t="s">
        <v>116</v>
      </c>
      <c r="B72">
        <v>0</v>
      </c>
      <c r="C72">
        <v>0.28999999999999998</v>
      </c>
      <c r="D72">
        <v>30</v>
      </c>
      <c r="E72" t="s">
        <v>215</v>
      </c>
    </row>
    <row r="73" spans="1:5" x14ac:dyDescent="0.35">
      <c r="A73" t="s">
        <v>66</v>
      </c>
      <c r="B73">
        <v>0</v>
      </c>
      <c r="C73">
        <v>0.28999999999999998</v>
      </c>
      <c r="D73">
        <v>29</v>
      </c>
      <c r="E73" t="s">
        <v>215</v>
      </c>
    </row>
    <row r="74" spans="1:5" x14ac:dyDescent="0.35">
      <c r="A74" t="s">
        <v>93</v>
      </c>
      <c r="B74">
        <v>0</v>
      </c>
      <c r="C74">
        <v>0.28999999999999998</v>
      </c>
      <c r="D74">
        <v>28</v>
      </c>
      <c r="E74" t="s">
        <v>215</v>
      </c>
    </row>
    <row r="75" spans="1:5" x14ac:dyDescent="0.35">
      <c r="A75" t="s">
        <v>117</v>
      </c>
      <c r="B75">
        <v>0</v>
      </c>
      <c r="C75">
        <v>0.27</v>
      </c>
      <c r="D75">
        <v>27</v>
      </c>
      <c r="E75" t="s">
        <v>215</v>
      </c>
    </row>
    <row r="76" spans="1:5" x14ac:dyDescent="0.35">
      <c r="A76" t="s">
        <v>51</v>
      </c>
      <c r="B76">
        <v>0</v>
      </c>
      <c r="C76">
        <v>0.27</v>
      </c>
      <c r="D76">
        <v>26</v>
      </c>
      <c r="E76" t="s">
        <v>215</v>
      </c>
    </row>
    <row r="77" spans="1:5" x14ac:dyDescent="0.35">
      <c r="A77" t="s">
        <v>110</v>
      </c>
      <c r="B77">
        <v>0</v>
      </c>
      <c r="C77">
        <v>0.26</v>
      </c>
      <c r="D77">
        <v>24.5</v>
      </c>
      <c r="E77" t="s">
        <v>215</v>
      </c>
    </row>
    <row r="78" spans="1:5" x14ac:dyDescent="0.35">
      <c r="A78" t="s">
        <v>115</v>
      </c>
      <c r="B78">
        <v>0</v>
      </c>
      <c r="C78">
        <v>0.26</v>
      </c>
      <c r="D78">
        <v>24.5</v>
      </c>
      <c r="E78" t="s">
        <v>215</v>
      </c>
    </row>
    <row r="79" spans="1:5" x14ac:dyDescent="0.35">
      <c r="A79" t="s">
        <v>96</v>
      </c>
      <c r="B79">
        <v>0</v>
      </c>
      <c r="C79">
        <v>0.24</v>
      </c>
      <c r="D79">
        <v>22.5</v>
      </c>
      <c r="E79" t="s">
        <v>215</v>
      </c>
    </row>
    <row r="80" spans="1:5" x14ac:dyDescent="0.35">
      <c r="A80" t="s">
        <v>99</v>
      </c>
      <c r="B80">
        <v>0</v>
      </c>
      <c r="C80">
        <v>0.24</v>
      </c>
      <c r="D80">
        <v>22.5</v>
      </c>
      <c r="E80" t="s">
        <v>215</v>
      </c>
    </row>
    <row r="81" spans="1:5" x14ac:dyDescent="0.35">
      <c r="A81" t="s">
        <v>122</v>
      </c>
      <c r="B81">
        <v>0</v>
      </c>
      <c r="C81">
        <v>0.23</v>
      </c>
      <c r="D81">
        <v>21</v>
      </c>
      <c r="E81" t="s">
        <v>215</v>
      </c>
    </row>
    <row r="82" spans="1:5" x14ac:dyDescent="0.35">
      <c r="A82" t="s">
        <v>39</v>
      </c>
      <c r="B82">
        <v>1</v>
      </c>
      <c r="C82">
        <v>0.21</v>
      </c>
      <c r="D82">
        <v>20</v>
      </c>
      <c r="E82" t="s">
        <v>215</v>
      </c>
    </row>
    <row r="83" spans="1:5" x14ac:dyDescent="0.35">
      <c r="A83" t="s">
        <v>108</v>
      </c>
      <c r="B83">
        <v>0</v>
      </c>
      <c r="C83">
        <v>0.21</v>
      </c>
      <c r="D83">
        <v>19</v>
      </c>
      <c r="E83" t="s">
        <v>215</v>
      </c>
    </row>
    <row r="84" spans="1:5" x14ac:dyDescent="0.35">
      <c r="A84" t="s">
        <v>81</v>
      </c>
      <c r="B84">
        <v>0</v>
      </c>
      <c r="C84">
        <v>0.21</v>
      </c>
      <c r="D84">
        <v>17.5</v>
      </c>
      <c r="E84" t="s">
        <v>215</v>
      </c>
    </row>
    <row r="85" spans="1:5" x14ac:dyDescent="0.35">
      <c r="A85" t="s">
        <v>107</v>
      </c>
      <c r="B85">
        <v>0</v>
      </c>
      <c r="C85">
        <v>0.21</v>
      </c>
      <c r="D85">
        <v>17.5</v>
      </c>
      <c r="E85" t="s">
        <v>215</v>
      </c>
    </row>
    <row r="86" spans="1:5" x14ac:dyDescent="0.35">
      <c r="A86" t="s">
        <v>89</v>
      </c>
      <c r="B86">
        <v>0</v>
      </c>
      <c r="C86">
        <v>0.2</v>
      </c>
      <c r="D86">
        <v>16</v>
      </c>
      <c r="E86" t="s">
        <v>215</v>
      </c>
    </row>
    <row r="87" spans="1:5" x14ac:dyDescent="0.35">
      <c r="A87" t="s">
        <v>103</v>
      </c>
      <c r="B87">
        <v>0</v>
      </c>
      <c r="C87">
        <v>0.18</v>
      </c>
      <c r="D87">
        <v>15</v>
      </c>
      <c r="E87" t="s">
        <v>215</v>
      </c>
    </row>
    <row r="88" spans="1:5" x14ac:dyDescent="0.35">
      <c r="A88" t="s">
        <v>105</v>
      </c>
      <c r="B88">
        <v>0</v>
      </c>
      <c r="C88">
        <v>0.17</v>
      </c>
      <c r="D88">
        <v>13</v>
      </c>
      <c r="E88" t="s">
        <v>215</v>
      </c>
    </row>
    <row r="89" spans="1:5" x14ac:dyDescent="0.35">
      <c r="A89" t="s">
        <v>109</v>
      </c>
      <c r="B89">
        <v>0</v>
      </c>
      <c r="C89">
        <v>0.17</v>
      </c>
      <c r="D89">
        <v>13</v>
      </c>
      <c r="E89" t="s">
        <v>215</v>
      </c>
    </row>
    <row r="90" spans="1:5" x14ac:dyDescent="0.35">
      <c r="A90" t="s">
        <v>114</v>
      </c>
      <c r="B90">
        <v>0</v>
      </c>
      <c r="C90">
        <v>0.17</v>
      </c>
      <c r="D90">
        <v>13</v>
      </c>
      <c r="E90" t="s">
        <v>215</v>
      </c>
    </row>
    <row r="91" spans="1:5" x14ac:dyDescent="0.35">
      <c r="A91" t="s">
        <v>97</v>
      </c>
      <c r="B91">
        <v>0</v>
      </c>
      <c r="C91">
        <v>0.15</v>
      </c>
      <c r="D91">
        <v>11</v>
      </c>
      <c r="E91" t="s">
        <v>215</v>
      </c>
    </row>
    <row r="92" spans="1:5" x14ac:dyDescent="0.35">
      <c r="A92" t="s">
        <v>79</v>
      </c>
      <c r="B92">
        <v>0</v>
      </c>
      <c r="C92">
        <v>0.13</v>
      </c>
      <c r="D92">
        <v>7</v>
      </c>
      <c r="E92" t="s">
        <v>215</v>
      </c>
    </row>
    <row r="93" spans="1:5" x14ac:dyDescent="0.35">
      <c r="A93" t="s">
        <v>82</v>
      </c>
      <c r="B93">
        <v>0</v>
      </c>
      <c r="C93">
        <v>0.13</v>
      </c>
      <c r="D93">
        <v>7</v>
      </c>
      <c r="E93" t="s">
        <v>215</v>
      </c>
    </row>
    <row r="94" spans="1:5" x14ac:dyDescent="0.35">
      <c r="A94" t="s">
        <v>83</v>
      </c>
      <c r="B94">
        <v>0</v>
      </c>
      <c r="C94">
        <v>0.13</v>
      </c>
      <c r="D94">
        <v>7</v>
      </c>
      <c r="E94" t="s">
        <v>215</v>
      </c>
    </row>
    <row r="95" spans="1:5" x14ac:dyDescent="0.35">
      <c r="A95" t="s">
        <v>84</v>
      </c>
      <c r="B95">
        <v>0</v>
      </c>
      <c r="C95">
        <v>0.13</v>
      </c>
      <c r="D95">
        <v>7</v>
      </c>
      <c r="E95" t="s">
        <v>215</v>
      </c>
    </row>
    <row r="96" spans="1:5" x14ac:dyDescent="0.35">
      <c r="A96" t="s">
        <v>85</v>
      </c>
      <c r="B96">
        <v>0</v>
      </c>
      <c r="C96">
        <v>0.13</v>
      </c>
      <c r="D96">
        <v>7</v>
      </c>
      <c r="E96" t="s">
        <v>215</v>
      </c>
    </row>
    <row r="97" spans="1:5" x14ac:dyDescent="0.35">
      <c r="A97" t="s">
        <v>119</v>
      </c>
      <c r="B97">
        <v>0</v>
      </c>
      <c r="C97">
        <v>0.13</v>
      </c>
      <c r="D97">
        <v>7</v>
      </c>
      <c r="E97" t="s">
        <v>215</v>
      </c>
    </row>
    <row r="98" spans="1:5" x14ac:dyDescent="0.35">
      <c r="A98" t="s">
        <v>121</v>
      </c>
      <c r="B98">
        <v>0</v>
      </c>
      <c r="C98">
        <v>0.13</v>
      </c>
      <c r="D98">
        <v>7</v>
      </c>
      <c r="E98" t="s">
        <v>215</v>
      </c>
    </row>
    <row r="99" spans="1:5" x14ac:dyDescent="0.35">
      <c r="A99" t="s">
        <v>78</v>
      </c>
      <c r="B99">
        <v>0</v>
      </c>
      <c r="C99">
        <v>0.12</v>
      </c>
      <c r="D99">
        <v>2</v>
      </c>
      <c r="E99" t="s">
        <v>215</v>
      </c>
    </row>
    <row r="100" spans="1:5" x14ac:dyDescent="0.35">
      <c r="A100" t="s">
        <v>92</v>
      </c>
      <c r="B100">
        <v>0</v>
      </c>
      <c r="C100">
        <v>0.12</v>
      </c>
      <c r="D100">
        <v>2</v>
      </c>
      <c r="E100" t="s">
        <v>215</v>
      </c>
    </row>
    <row r="101" spans="1:5" x14ac:dyDescent="0.35">
      <c r="A101" t="s">
        <v>118</v>
      </c>
      <c r="B101">
        <v>0</v>
      </c>
      <c r="C101">
        <v>0.12</v>
      </c>
      <c r="D101">
        <v>2</v>
      </c>
      <c r="E101" t="s">
        <v>215</v>
      </c>
    </row>
  </sheetData>
  <autoFilter ref="A1:E1" xr:uid="{00000000-0001-0000-0800-000000000000}">
    <sortState xmlns:xlrd2="http://schemas.microsoft.com/office/spreadsheetml/2017/richdata2" ref="A2:E101">
      <sortCondition descending="1" ref="D1"/>
    </sortState>
  </autoFilter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/>
  </sheetPr>
  <dimension ref="A1:B11"/>
  <sheetViews>
    <sheetView workbookViewId="0">
      <selection activeCell="B10" sqref="B10"/>
    </sheetView>
  </sheetViews>
  <sheetFormatPr defaultRowHeight="14.5" x14ac:dyDescent="0.35"/>
  <cols>
    <col min="1" max="1" width="25.81640625" bestFit="1" customWidth="1"/>
    <col min="2" max="2" width="11.81640625" bestFit="1" customWidth="1"/>
  </cols>
  <sheetData>
    <row r="1" spans="1:2" x14ac:dyDescent="0.35">
      <c r="A1" s="28" t="s">
        <v>217</v>
      </c>
      <c r="B1" s="28" t="s">
        <v>218</v>
      </c>
    </row>
    <row r="2" spans="1:2" x14ac:dyDescent="0.35">
      <c r="A2" t="s">
        <v>9</v>
      </c>
      <c r="B2">
        <v>0.1895503887971042</v>
      </c>
    </row>
    <row r="3" spans="1:2" x14ac:dyDescent="0.35">
      <c r="A3" t="s">
        <v>10</v>
      </c>
      <c r="B3">
        <v>0.17513094995134421</v>
      </c>
    </row>
    <row r="4" spans="1:2" x14ac:dyDescent="0.35">
      <c r="A4" t="s">
        <v>6</v>
      </c>
      <c r="B4">
        <v>0.1530052335356735</v>
      </c>
    </row>
    <row r="5" spans="1:2" x14ac:dyDescent="0.35">
      <c r="A5" t="s">
        <v>12</v>
      </c>
      <c r="B5">
        <v>0.1386479997969593</v>
      </c>
    </row>
    <row r="6" spans="1:2" x14ac:dyDescent="0.35">
      <c r="A6" t="s">
        <v>8</v>
      </c>
      <c r="B6">
        <v>0.13456425824611831</v>
      </c>
    </row>
    <row r="7" spans="1:2" x14ac:dyDescent="0.35">
      <c r="A7" t="s">
        <v>11</v>
      </c>
      <c r="B7">
        <v>0.11675994501601961</v>
      </c>
    </row>
    <row r="8" spans="1:2" x14ac:dyDescent="0.35">
      <c r="A8" t="s">
        <v>7</v>
      </c>
      <c r="B8">
        <v>3.5267451300136497E-2</v>
      </c>
    </row>
    <row r="9" spans="1:2" x14ac:dyDescent="0.35">
      <c r="A9" t="s">
        <v>5</v>
      </c>
      <c r="B9">
        <v>2.78226001649227E-2</v>
      </c>
    </row>
    <row r="10" spans="1:2" x14ac:dyDescent="0.35">
      <c r="A10" t="s">
        <v>14</v>
      </c>
      <c r="B10">
        <v>2.7066361099318259E-2</v>
      </c>
    </row>
    <row r="11" spans="1:2" x14ac:dyDescent="0.35">
      <c r="A11" t="s">
        <v>13</v>
      </c>
      <c r="B11">
        <v>2.184812092403514E-3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/>
  </sheetPr>
  <dimension ref="A1:B6"/>
  <sheetViews>
    <sheetView workbookViewId="0">
      <selection activeCell="H21" sqref="H21"/>
    </sheetView>
  </sheetViews>
  <sheetFormatPr defaultRowHeight="14.5" x14ac:dyDescent="0.35"/>
  <cols>
    <col min="1" max="1" width="13.453125" bestFit="1" customWidth="1"/>
    <col min="2" max="2" width="40.453125" bestFit="1" customWidth="1"/>
  </cols>
  <sheetData>
    <row r="1" spans="1:2" x14ac:dyDescent="0.35">
      <c r="A1" s="28" t="s">
        <v>194</v>
      </c>
      <c r="B1" s="28" t="s">
        <v>195</v>
      </c>
    </row>
    <row r="2" spans="1:2" x14ac:dyDescent="0.35">
      <c r="A2" t="s">
        <v>196</v>
      </c>
      <c r="B2">
        <v>0.84</v>
      </c>
    </row>
    <row r="3" spans="1:2" x14ac:dyDescent="0.35">
      <c r="A3" t="s">
        <v>219</v>
      </c>
      <c r="B3" t="s">
        <v>220</v>
      </c>
    </row>
    <row r="4" spans="1:2" x14ac:dyDescent="0.35">
      <c r="A4" t="s">
        <v>221</v>
      </c>
      <c r="B4" t="s">
        <v>1</v>
      </c>
    </row>
    <row r="5" spans="1:2" x14ac:dyDescent="0.35">
      <c r="A5" t="s">
        <v>222</v>
      </c>
      <c r="B5">
        <v>100</v>
      </c>
    </row>
    <row r="6" spans="1:2" x14ac:dyDescent="0.35">
      <c r="A6" t="s">
        <v>223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Note for Barry</vt:lpstr>
      <vt:lpstr>Model Framework</vt:lpstr>
      <vt:lpstr>Risk Framework</vt:lpstr>
      <vt:lpstr>Unified VIN Risk Scoring</vt:lpstr>
      <vt:lpstr>CEO Escalation VINs</vt:lpstr>
      <vt:lpstr>Dealer Operations</vt:lpstr>
      <vt:lpstr>Call Center Profiles</vt:lpstr>
      <vt:lpstr>Regression Analytics</vt:lpstr>
      <vt:lpstr>Multiplier Tables</vt:lpstr>
      <vt:lpstr>Risk Bands</vt:lpstr>
      <vt:lpstr>ML Predictions</vt:lpstr>
      <vt:lpstr>ML Feature Importance</vt:lpstr>
      <vt:lpstr>ML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Bonus</cp:lastModifiedBy>
  <dcterms:created xsi:type="dcterms:W3CDTF">2026-05-18T21:12:27Z</dcterms:created>
  <dcterms:modified xsi:type="dcterms:W3CDTF">2026-05-22T06:03:01Z</dcterms:modified>
</cp:coreProperties>
</file>